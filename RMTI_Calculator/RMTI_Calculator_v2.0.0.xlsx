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Cover" sheetId="1" state="visible" r:id="rId3"/>
    <sheet name="How to Use" sheetId="2" state="visible" r:id="rId4"/>
    <sheet name="Reference" sheetId="3" state="visible" r:id="rId5"/>
    <sheet name="RMTI Calculator" sheetId="4" state="visible" r:id="rId6"/>
  </sheets>
  <definedNames>
    <definedName function="false" hidden="false" name="Nmax" vbProcedure="false">Reference!$C$6</definedName>
    <definedName function="false" hidden="false" name="Nmin" vbProcedure="false">Reference!$C$5</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E11" authorId="0">
      <text>
        <r>
          <rPr>
            <sz val="10"/>
            <rFont val="Arial"/>
            <family val="2"/>
          </rPr>
          <t xml:space="preserve">CORRECTED 23,700 -&gt; 21,300. LAEDC Institute for Applied Economics, 'Impact of 2025 Los Angeles Wildfires and Comparative Study' (Feb 2025), p.11 (Exhibit 8 area): 'Home to more than 21,300 residents' in the Palisades Fire demographic-profile area. Matches this sheet's own definition of N as 'people in the hazard footprint' more closely than a generic Pacific Palisades neighborhood total.</t>
        </r>
      </text>
    </comment>
    <comment ref="E12" authorId="0">
      <text>
        <r>
          <rPr>
            <sz val="10"/>
            <rFont val="Arial"/>
            <family val="2"/>
          </rPr>
          <t xml:space="preserve">CORRECTED 42,846 -&gt; 23,000. The prior value was Altadena CDP's TOTAL population (all of Altadena), not the Eaton Fire hazard footprint -- inconsistent with how N was derived for the Palisades row. LAEDC (Feb 2025), p.16 (Exhibit 13 area): 'Home to nearly 23,000 residents' in the Eaton Fire demographic-profile area. Using the same fire-area-population methodology as Palisades for a like-for-like comparison.</t>
        </r>
      </text>
    </comment>
    <comment ref="F11" authorId="0">
      <text>
        <r>
          <rPr>
            <sz val="10"/>
            <rFont val="Arial"/>
            <family val="2"/>
          </rPr>
          <t xml:space="preserve">CORRECTED 0.90 -&gt; 0.40. 'L' is defined as annual probability the hazard MATERIALLY STRIKES the asset. Pacific Palisades/Topanga/Malibu corridor is CAL FIRE-designated Very High Fire Hazard Severity Zone (WUI, chaparral, Santa Ana wind corridor), and fire season has lengthened under sustained drought -- but this is not an annual-certainty hazard the way seasonal monsoon flooding is for the African comparator cities in this sheet. 0.40 reflects 'elevated/high, not certain-every-year' -- a judgment calibration, not a precise empirical statistic (no parcel-level annual-burn-probability figure for this exact footprint was available). Note: lowering L changes the R-tier outcome but NOT the EAL/consequence severity (C), which is validated separately below -- R and EAL deliberately measure different things per this workbook's own Cover-sheet framing.</t>
        </r>
      </text>
    </comment>
    <comment ref="F12" authorId="0">
      <text>
        <r>
          <rPr>
            <sz val="10"/>
            <rFont val="Arial"/>
            <family val="2"/>
          </rPr>
          <t xml:space="preserve">CORRECTED 0.88 -&gt; 0.40. Same reasoning as F11 (Palisades): same Very High Fire Hazard Severity Zone classification (Eaton Canyon / San Gabriel foothills / Altadena / La Canada Flintridge corridor), same regional Santa Ana wind event on the same night. Unified with Palisades' L since both sit in the same shared regional hazard environment; the two rows are differentiated instead through N, E and V (their genuinely different local exposure and vulnerability profiles).</t>
        </r>
      </text>
    </comment>
    <comment ref="H11" authorId="0">
      <text>
        <r>
          <rPr>
            <sz val="10"/>
            <rFont val="Arial"/>
            <family val="2"/>
          </rPr>
          <t xml:space="preserve">E (used)=0.90: analyst rubric exposure, not E (log). The Jan 2025 Palisades Fire burned 23,448 acres and placed effectively the entire Pacific Palisades neighborhood under mandatory evacuation; 6,837 of an estimated ~9,300 neighborhood structures were destroyed and 973 damaged (CAL FIRE DINS; L.A. County Fire Dept./County of L.A. Eaton &amp; Palisades Fires Anniversary Fact Sheet, Jan 2026; Britannica, 'Los Angeles wildfires of 2025').</t>
        </r>
      </text>
    </comment>
    <comment ref="H12" authorId="0">
      <text>
        <r>
          <rPr>
            <sz val="10"/>
            <rFont val="Arial"/>
            <family val="2"/>
          </rPr>
          <t xml:space="preserve">E (used)=0.80: analyst rubric exposure. The Jan 2025 Eaton Fire burned 14,021 acres; 52,314 residents were placed under evacuation orders and a further 46,847 under evacuation warnings within 24 hours (Wikipedia 'Eaton Fire'); 9,414 of Altadena's structures were destroyed and 1,074 damaged (L.A. County Eaton &amp; Palisades Fires Anniversary Fact Sheet, Jan 2026) — west Altadena bore the heaviest exposure.</t>
        </r>
      </text>
    </comment>
    <comment ref="I11" authorId="0">
      <text>
        <r>
          <rPr>
            <sz val="10"/>
            <rFont val="Arial"/>
            <family val="2"/>
          </rPr>
          <t xml:space="preserve">V=0.40: Pacific Palisades has high household income (avg. individual income $135,206, U.S. Census/ACS) which raises adaptive capacity and lowers socio-economic vulnerability relative to lower-income comparator cities in this table, offset upward somewhat by an older median age (47) and a single -egress coastal road network.</t>
        </r>
      </text>
    </comment>
    <comment ref="I12" authorId="0">
      <text>
        <r>
          <rPr>
            <sz val="10"/>
            <rFont val="Arial"/>
            <family val="2"/>
          </rPr>
          <t xml:space="preserve">V=0.60: set higher than Pacific Palisades reflecting documented socio-economic vulnerability concentrated in West Altadena — historic redlining, a Black homeownership rate of ~75-81% concentrated nearest the fire perimeter, 45% of Black homeowners cost-burdened (&gt;30% of income on housing), and 21% of residents over age 65 vs. 15% county-wide (UCLA Center for Neighborhood Knowledge/Bunche Center data brief, Jan 2025; la.myneighborhooddata.org Eaton Fire Community Profile).</t>
        </r>
      </text>
    </comment>
    <comment ref="J11" authorId="0">
      <text>
        <r>
          <rPr>
            <sz val="10"/>
            <rFont val="Arial"/>
            <family val="2"/>
          </rPr>
          <t xml:space="preserve">rho now=0.20: pre-event resilience/readiness scored low because the fire exposed major infrastructure and continuity failures — the 117-million-gallon Santa Ynez Reservoir was offline for repairs and hydrants ran dry during peak demand (LADWP after-action reporting, Jan 2025), consistent with Marolla's RMTrl dimension (ICT/energy/water infrastructure quality).</t>
        </r>
      </text>
    </comment>
    <comment ref="J12" authorId="0">
      <text>
        <r>
          <rPr>
            <sz val="10"/>
            <rFont val="Arial"/>
            <family val="2"/>
          </rPr>
          <t xml:space="preserve">CORRECTED 0.25 -&gt; 0.20. Aligned with the Palisades row (J11=0.20). The documented pre-fire resilience gaps in the SSRN policy report (evacuation alert relay delays, statewide insurance market dysfunction under Prop 103, absent thermal-imaging mandate, fragmented vegetation-management authority, underfunded CalAssist disaster fund) were REGIONAL/STATEWIDE conditions affecting both fires equally, not something the available sources show differing measurably by neighborhood.</t>
        </r>
      </text>
    </comment>
    <comment ref="K11" authorId="0">
      <text>
        <r>
          <rPr>
            <sz val="10"/>
            <rFont val="Arial"/>
            <family val="2"/>
          </rPr>
          <t xml:space="preserve">CORRECTED 0.50 -&gt; 0.35. Source: 'From Disaster to Change: Filling up the Policy Gaps Made Clear by the 2025 Palisades Fire' (SSRN policy report, 2026), Section IV matrix. Of the 7 pre-fire structural gaps identified, only SB 495 (insurance claims, signed Oct 2025), SB 663 (property tax relief, signed 2025) and the CalAssist Mortgage Fund expansion (Feb 2026) are fully enacted. Thermal-imaging/fire-monitoring mandate = 'no statute yet'; water infrastructure separation = 'unaddressed at state level'; vegetation management = 'partial, no unified framework'. 0.35 reflects meaningful but PARTIAL resilience gain (financial/claims layer improved; physical/operational layer largely unchanged), not the fuller recovery 0.50 implied.</t>
        </r>
      </text>
    </comment>
    <comment ref="K12" authorId="0">
      <text>
        <r>
          <rPr>
            <sz val="10"/>
            <rFont val="Arial"/>
            <family val="2"/>
          </rPr>
          <t xml:space="preserve">CORRECTED 0.45 -&gt; 0.35. Same reasoning as K11 (Palisades): per the SSRN report's own status matrix, only 2-3 of 7 structural gaps are fully enacted into law; core physical/operational gaps (fire monitoring, water infrastructure, vegetation management) remain unaddressed as of the report's writing. Unified with Palisades for the same shared-policy-environment reasoning as J12.</t>
        </r>
      </text>
    </comment>
    <comment ref="L11" authorId="0">
      <text>
        <r>
          <rPr>
            <sz val="10"/>
            <rFont val="Arial"/>
            <family val="2"/>
          </rPr>
          <t xml:space="preserve">C=4 (Major, 50,000-1,000,000 people affected): ~105,000 residents were placed under evacuation orders across the Palisades Fire footprint (Wikipedia 'Palisades Fire' infobox, citing county evacuation data), which maps to the Major band on the Reference-sheet consequence scale.</t>
        </r>
      </text>
    </comment>
    <comment ref="L12" authorId="0">
      <text>
        <r>
          <rPr>
            <sz val="10"/>
            <rFont val="Arial"/>
            <family val="2"/>
          </rPr>
          <t xml:space="preserve">C=4 (Major, 50,000-1,000,000 people affected): ~99,000 residents were under evacuation order or warning during the Eaton Fire (Wikipedia 'Eaton Fire' incident timeline), which maps to the Major band on the Reference-sheet consequence scale.</t>
        </r>
      </text>
    </comment>
  </commentList>
</comments>
</file>

<file path=xl/sharedStrings.xml><?xml version="1.0" encoding="utf-8"?>
<sst xmlns="http://schemas.openxmlformats.org/spreadsheetml/2006/main" count="183" uniqueCount="170">
  <si>
    <t xml:space="preserve">ENVR E-241  ·  Risk by Design</t>
  </si>
  <si>
    <t xml:space="preserve">RMTI Calculator  ·  v2.0.0</t>
  </si>
  <si>
    <t xml:space="preserve">Risk Mechanism Theory Index — a single, decision-ready score to assess, quantify and treat urban climate risk.</t>
  </si>
  <si>
    <t xml:space="preserve">The model at a glance</t>
  </si>
  <si>
    <t xml:space="preserve">Core score</t>
  </si>
  <si>
    <t xml:space="preserve">R = Σ  w·L·E·V·(1−ρ)        — exposure &amp; vulnerability raise R; resilience lowers it</t>
  </si>
  <si>
    <t xml:space="preserve">Severity layer</t>
  </si>
  <si>
    <t xml:space="preserve">EAL = Σ  L·C·(1−ρ)          — carries likelihood × consequence into expected loss</t>
  </si>
  <si>
    <t xml:space="preserve">Exposure from N</t>
  </si>
  <si>
    <t xml:space="preserve">E = [log₁₀(N) − log₁₀(Nₘᵢₙ)] / [log₁₀(Nₘₐₓ) − log₁₀(Nₘᵢₙ)],  anchors Nₘᵢₙ=10, Nₘₐₓ=20,000,000</t>
  </si>
  <si>
    <t xml:space="preserve">Per-capita lens</t>
  </si>
  <si>
    <t xml:space="preserve">rate = EAL ÷ population      — reported alongside R for equity</t>
  </si>
  <si>
    <t xml:space="preserve">Fixed tiers</t>
  </si>
  <si>
    <t xml:space="preserve">1 Low &lt;0.05 · 2 Moderate 0.05–0.15 · 3 High 0.15–0.35 · 4 Severe 0.35–0.60 · 5 Critical ≥0.60</t>
  </si>
  <si>
    <t xml:space="preserve">What's inside</t>
  </si>
  <si>
    <t xml:space="preserve">•  How to Use — step-by-step input guide and a worked walk-through (Lilongwe).</t>
  </si>
  <si>
    <t xml:space="preserve">•  RMTI Calculator — all cases in one continuous, auto-calculating table; add your own cities at the foot.</t>
  </si>
  <si>
    <t xml:space="preserve">•  Reference — fixed tiers, consequence scale, exposure anchors and the Table 9.4 indicator backbone.</t>
  </si>
  <si>
    <t xml:space="preserve">© 2026 Cesar Marolla. RMTI Calculator v2.0.0. Licensed under the Apache License, Version 2.0 (see LICENSE.txt or http://www.apache.org/licenses/LICENSE-2.0) — free to use, modify and redistribute, including commercially, with attribution. Developed for ENVR E-241 Risk by Design, Harvard University, Division of Continuing Education. Companion Python reference implementation and interactive sandboxes: see NOTICE for full citation.</t>
  </si>
  <si>
    <t xml:space="preserve">How to use the RMTI Calculator</t>
  </si>
  <si>
    <t xml:space="preserve">Type into the warm-shaded (blue-text) cells only. Everything else recalculates automatically.</t>
  </si>
  <si>
    <t xml:space="preserve">Step 1 — Enter the inputs (warm cells)</t>
  </si>
  <si>
    <t xml:space="preserve">Population N</t>
  </si>
  <si>
    <t xml:space="preserve">Beneficiaries or people in the hazard footprint. Drives the log-exposure helper column E (log).</t>
  </si>
  <si>
    <t xml:space="preserve">L · Likelihood</t>
  </si>
  <si>
    <t xml:space="preserve">Annual probability the hazard materially strikes the asset, on 0–1 (1–5 band midpoints).</t>
  </si>
  <si>
    <t xml:space="preserve">E · Exposure (used)</t>
  </si>
  <si>
    <t xml:space="preserve">Share of people/assets in harm's way, 0–1. Tip: copy the E (log) helper value, or enter your own rubric value.</t>
  </si>
  <si>
    <t xml:space="preserve">V · Vulnerability</t>
  </si>
  <si>
    <t xml:space="preserve">Sensitivity given adaptive capacity (housing, utilities, services), 0–1.</t>
  </si>
  <si>
    <t xml:space="preserve">ρ now / ρ after</t>
  </si>
  <si>
    <t xml:space="preserve">Resilience (coping capacity) before and after the adaptation package, 0–1. Enters as (1−ρ).</t>
  </si>
  <si>
    <t xml:space="preserve">C · Consequence (1–5)</t>
  </si>
  <si>
    <t xml:space="preserve">Severity of a failure: 1 Insignificant · 2 Minor · 3 Moderate · 4 Major · 5 Severe. Maps to 0–1 for EAL.</t>
  </si>
  <si>
    <t xml:space="preserve">Step 2 — Read the results (auto-calculated)</t>
  </si>
  <si>
    <t xml:space="preserve">Inherent risk</t>
  </si>
  <si>
    <t xml:space="preserve">L · E · V — risk before resilience is applied.</t>
  </si>
  <si>
    <t xml:space="preserve">R now / R after</t>
  </si>
  <si>
    <t xml:space="preserve">Inherent × (1−ρ). The decision score, bounded 0–1.</t>
  </si>
  <si>
    <t xml:space="preserve">Tier</t>
  </si>
  <si>
    <t xml:space="preserve">Maps R to the fixed 1–5 band — same thresholds for every city, every year.</t>
  </si>
  <si>
    <t xml:space="preserve">Δ risk %</t>
  </si>
  <si>
    <t xml:space="preserve">Percentage cut in R from the resilience investment.</t>
  </si>
  <si>
    <t xml:space="preserve">EAL index</t>
  </si>
  <si>
    <t xml:space="preserve">L · C · (1−ρ) — expected-loss index that carries severity through.</t>
  </si>
  <si>
    <t xml:space="preserve">Per-capita</t>
  </si>
  <si>
    <t xml:space="preserve">EAL ÷ population (shown per 1,000,000 residents) — the equity lens.</t>
  </si>
  <si>
    <t xml:space="preserve">Step 3 — Add your own city</t>
  </si>
  <si>
    <t xml:space="preserve">Type a new city into the first empty row beneath the populated ones. Formulas in the grey result columns are already in place and will calculate as soon as you enter N, L, E, V and ρ. Leave ρ after blank if you are only scoring the current state.</t>
  </si>
  <si>
    <t xml:space="preserve">Worked walk-through — Lilongwe, Malawi</t>
  </si>
  <si>
    <t xml:space="preserve">•  N = 1,100,000  →  E (log) = (log₁₀(1,100,000) − 1) / (log₁₀(20,000,000) − 1) = 5.0414 / 6.3010 = 0.80</t>
  </si>
  <si>
    <t xml:space="preserve">•  Inherent = L · E · V = 0.875 · 0.80 · 0.80 = 0.56</t>
  </si>
  <si>
    <t xml:space="preserve">•  R now = 0.56 · (1 − 0.25) = 0.42  →  Tier 4 · Severe  (resilience shields only 25% of inherent risk)</t>
  </si>
  <si>
    <t xml:space="preserve">•  R after = 0.56 · (1 − 0.48) = 0.29  →  Tier 3 · High  (target pathway ρ 0.43–0.53 by 2027–2030)</t>
  </si>
  <si>
    <t xml:space="preserve">Reference tables</t>
  </si>
  <si>
    <t xml:space="preserve">Exposure anchors</t>
  </si>
  <si>
    <t xml:space="preserve">Nmin</t>
  </si>
  <si>
    <t xml:space="preserve">smallest viable scheme (people)</t>
  </si>
  <si>
    <t xml:space="preserve">Nmax</t>
  </si>
  <si>
    <t xml:space="preserve">largest metro ceiling (people)</t>
  </si>
  <si>
    <t xml:space="preserve">Fixed scoring tiers</t>
  </si>
  <si>
    <t xml:space="preserve">R band</t>
  </si>
  <si>
    <t xml:space="preserve">Posture</t>
  </si>
  <si>
    <t xml:space="preserve">1 · Low</t>
  </si>
  <si>
    <t xml:space="preserve">R &lt; 0.05</t>
  </si>
  <si>
    <t xml:space="preserve">Monitor; maintain baseline</t>
  </si>
  <si>
    <t xml:space="preserve">2 · Moderate</t>
  </si>
  <si>
    <t xml:space="preserve">0.05 – 0.15</t>
  </si>
  <si>
    <t xml:space="preserve">Low-regret preventive measures</t>
  </si>
  <si>
    <t xml:space="preserve">3 · High</t>
  </si>
  <si>
    <t xml:space="preserve">0.15 – 0.35</t>
  </si>
  <si>
    <t xml:space="preserve">Structured mitigation; fund soon</t>
  </si>
  <si>
    <t xml:space="preserve">4 · Severe</t>
  </si>
  <si>
    <t xml:space="preserve">0.35 – 0.60</t>
  </si>
  <si>
    <t xml:space="preserve">Priority capital; act now</t>
  </si>
  <si>
    <t xml:space="preserve">5 · Critical</t>
  </si>
  <si>
    <t xml:space="preserve">R ≥ 0.60</t>
  </si>
  <si>
    <t xml:space="preserve">Immediate, system-level response</t>
  </si>
  <si>
    <t xml:space="preserve">Consequence scale (C)</t>
  </si>
  <si>
    <t xml:space="preserve">Score</t>
  </si>
  <si>
    <t xml:space="preserve">Severity → 0–1</t>
  </si>
  <si>
    <t xml:space="preserve">People affected</t>
  </si>
  <si>
    <t xml:space="preserve">1 · Insignificant</t>
  </si>
  <si>
    <t xml:space="preserve">0.10</t>
  </si>
  <si>
    <t xml:space="preserve">&lt; 50</t>
  </si>
  <si>
    <t xml:space="preserve">2 · Minor</t>
  </si>
  <si>
    <t xml:space="preserve">0.30</t>
  </si>
  <si>
    <t xml:space="preserve">50 – 500</t>
  </si>
  <si>
    <t xml:space="preserve">3 · Moderate</t>
  </si>
  <si>
    <t xml:space="preserve">0.50</t>
  </si>
  <si>
    <t xml:space="preserve">500 – 50,000</t>
  </si>
  <si>
    <t xml:space="preserve">4 · Major</t>
  </si>
  <si>
    <t xml:space="preserve">0.75</t>
  </si>
  <si>
    <t xml:space="preserve">50,000 – 1,000,000</t>
  </si>
  <si>
    <t xml:space="preserve">5 · Severe</t>
  </si>
  <si>
    <t xml:space="preserve">1.00</t>
  </si>
  <si>
    <t xml:space="preserve">&gt; 1,000,000</t>
  </si>
  <si>
    <t xml:space="preserve">Table 9.4 — indicator backbone</t>
  </si>
  <si>
    <t xml:space="preserve">RMTre → E  (raises R)</t>
  </si>
  <si>
    <t xml:space="preserve">RMTseen → V  (raises R)</t>
  </si>
  <si>
    <t xml:space="preserve">RMTrl → ρ  (lowers R)</t>
  </si>
  <si>
    <t xml:space="preserve">•  Natural &amp; man-made disasters; climate change</t>
  </si>
  <si>
    <t xml:space="preserve">•  Fiscal stability; inequality &amp; wealth distribution</t>
  </si>
  <si>
    <t xml:space="preserve">•  Risk-management strategy; business continuity</t>
  </si>
  <si>
    <t xml:space="preserve">•  Health hazards; pandemics; food &amp; water scarcity</t>
  </si>
  <si>
    <t xml:space="preserve">•  Control of corruption; rule of law; governance</t>
  </si>
  <si>
    <t xml:space="preserve">•  ICT, energy &amp; urban infrastructure quality</t>
  </si>
  <si>
    <t xml:space="preserve">•  Accelerated urbanism; population growth</t>
  </si>
  <si>
    <t xml:space="preserve">•  Environmental pollution; land degradation</t>
  </si>
  <si>
    <t xml:space="preserve">•  Hospital capacity; health care; water/food security</t>
  </si>
  <si>
    <t xml:space="preserve">•  Inherent cyber-risk; obsolete ICT</t>
  </si>
  <si>
    <t xml:space="preserve">•  Poverty indices; GDP per capita; institutions</t>
  </si>
  <si>
    <t xml:space="preserve">•  Renewable energy; demand rationing; recycling</t>
  </si>
  <si>
    <t xml:space="preserve">RMTI Calculator — assess · quantify · treat</t>
  </si>
  <si>
    <t xml:space="preserve">ENVR E-241  ·  Risk by Design      ·      Inputs are the warm/blue cells; grey columns auto-calculate. E (log) is derived from N — copy it into E (used) for an audited, population-based score.</t>
  </si>
  <si>
    <t xml:space="preserve">▶ You type here</t>
  </si>
  <si>
    <t xml:space="preserve">Auto-calculates</t>
  </si>
  <si>
    <t xml:space="preserve">New analysis</t>
  </si>
  <si>
    <t xml:space="preserve">City</t>
  </si>
  <si>
    <t xml:space="preserve">Country</t>
  </si>
  <si>
    <t xml:space="preserve">Set</t>
  </si>
  <si>
    <t xml:space="preserve">Hazard (h)</t>
  </si>
  <si>
    <t xml:space="preserve">L</t>
  </si>
  <si>
    <t xml:space="preserve">E (log)</t>
  </si>
  <si>
    <t xml:space="preserve">E (used)</t>
  </si>
  <si>
    <t xml:space="preserve">V</t>
  </si>
  <si>
    <t xml:space="preserve">ρ now</t>
  </si>
  <si>
    <t xml:space="preserve">ρ after</t>
  </si>
  <si>
    <t xml:space="preserve">C (1–5)
← Analyst rubric score
(enter 1–5)</t>
  </si>
  <si>
    <t xml:space="preserve">C (0–1)
← Auto-converted
for R formula</t>
  </si>
  <si>
    <t xml:space="preserve">Inherent
L·E·V</t>
  </si>
  <si>
    <t xml:space="preserve">R now</t>
  </si>
  <si>
    <t xml:space="preserve">Tier now</t>
  </si>
  <si>
    <t xml:space="preserve">R after</t>
  </si>
  <si>
    <t xml:space="preserve">Tier after</t>
  </si>
  <si>
    <t xml:space="preserve">Δ risk</t>
  </si>
  <si>
    <t xml:space="preserve">EAL now</t>
  </si>
  <si>
    <t xml:space="preserve">EAL after</t>
  </si>
  <si>
    <t xml:space="preserve">Per-capita now
(/1M)</t>
  </si>
  <si>
    <t xml:space="preserve">Priority
(in tier)</t>
  </si>
  <si>
    <t xml:space="preserve">Per-capita after
(/1M)</t>
  </si>
  <si>
    <t xml:space="preserve">Priority after
(in tier)</t>
  </si>
  <si>
    <t xml:space="preserve">Investment
Efficiency
Index (IEI)</t>
  </si>
  <si>
    <t xml:space="preserve">Bamako</t>
  </si>
  <si>
    <t xml:space="preserve">Mali</t>
  </si>
  <si>
    <t xml:space="preserve">Worked example</t>
  </si>
  <si>
    <t xml:space="preserve">Drought · flood · heat</t>
  </si>
  <si>
    <t xml:space="preserve">Lagos</t>
  </si>
  <si>
    <t xml:space="preserve">Nigeria</t>
  </si>
  <si>
    <t xml:space="preserve">Coastal &amp; pluvial flood</t>
  </si>
  <si>
    <t xml:space="preserve">Lilongwe ★</t>
  </si>
  <si>
    <t xml:space="preserve">Malawi</t>
  </si>
  <si>
    <t xml:space="preserve">Pluvial · river flood</t>
  </si>
  <si>
    <t xml:space="preserve">Nairobi</t>
  </si>
  <si>
    <t xml:space="preserve">Kenya</t>
  </si>
  <si>
    <t xml:space="preserve">Comparator</t>
  </si>
  <si>
    <t xml:space="preserve">Pluvial flood</t>
  </si>
  <si>
    <t xml:space="preserve">Dar es Salaam</t>
  </si>
  <si>
    <t xml:space="preserve">Tanzania</t>
  </si>
  <si>
    <t xml:space="preserve">Coastal flood</t>
  </si>
  <si>
    <t xml:space="preserve">Lusaka</t>
  </si>
  <si>
    <t xml:space="preserve">Zambia</t>
  </si>
  <si>
    <t xml:space="preserve">Flood · cholera</t>
  </si>
  <si>
    <t xml:space="preserve">Pacific Palisades</t>
  </si>
  <si>
    <t xml:space="preserve">USA</t>
  </si>
  <si>
    <t xml:space="preserve">2025 case study</t>
  </si>
  <si>
    <t xml:space="preserve">Wildfire (WUI) — Palisades Fire, Jan 2025</t>
  </si>
  <si>
    <t xml:space="preserve">Altadena</t>
  </si>
  <si>
    <t xml:space="preserve">Wildfire (WUI) — Eaton Fire, Jan 2025</t>
  </si>
  <si>
    <t xml:space="preserve">Notes:  Worked examples use each case's published rubric exposure (E used).  E (log) shows the population-derived value for comparison — for Lagos this is ≈0.98 vs 0.65 used.  Comparator rows carry illustrative inputs; R is recomputed uniformly as L·E·V·(1−ρ), correcting arithmetic in the source comparison table.  C (1–5) is the analyst rubric score you enter (1 = Insignificant → 5 = Severe).  C (0–1) is the auto-converted value the formula uses: 1→0.10, 2→0.30, 3→0.50, 4→0.75, 5→1.00 — do not edit column M.  |  NEW COLUMNS (X–Z):  Per-capita after = EAL after ÷ N × 1 000 000 — equity lens post-investment.  Priority after = rank by EAL after within the post-investment tier group (resets per tier; same method as Priority now).  Investment Efficiency Index (IEI) = Δ risk ÷ (1 − ρ after) — measures how much risk reduction is achieved per unit of residual exposure retained. IEI &gt; 1 means the intervention is highly leveraged; IEI near 0 means ρ after is high but risk barely moved.  Pacific Palisades and Altadena rows (2025 case study) were verified and corrected against LAEDC (2025), Casey et al., JAMA Health Forum (2025), and a 2026 SSRN Palisades Fire policy report -- see cell comments on N, L, ρ now and ρ after for sources and reasoning.</t>
  </si>
</sst>
</file>

<file path=xl/styles.xml><?xml version="1.0" encoding="utf-8"?>
<styleSheet xmlns="http://schemas.openxmlformats.org/spreadsheetml/2006/main">
  <numFmts count="6">
    <numFmt numFmtId="164" formatCode="General"/>
    <numFmt numFmtId="165" formatCode="#,##0"/>
    <numFmt numFmtId="166" formatCode="0.000"/>
    <numFmt numFmtId="167" formatCode="0"/>
    <numFmt numFmtId="168" formatCode="0.0%"/>
    <numFmt numFmtId="169" formatCode="0.00"/>
  </numFmts>
  <fonts count="33">
    <font>
      <sz val="11"/>
      <color theme="1"/>
      <name val="Calibri"/>
      <family val="2"/>
      <charset val="1"/>
    </font>
    <font>
      <sz val="10"/>
      <name val="Arial"/>
      <family val="0"/>
    </font>
    <font>
      <sz val="10"/>
      <name val="Arial"/>
      <family val="0"/>
    </font>
    <font>
      <sz val="10"/>
      <name val="Arial"/>
      <family val="0"/>
    </font>
    <font>
      <b val="true"/>
      <sz val="11"/>
      <color rgb="FF1C7C6C"/>
      <name val="Calibri"/>
      <family val="0"/>
      <charset val="1"/>
    </font>
    <font>
      <b val="true"/>
      <sz val="40"/>
      <color rgb="FF14463C"/>
      <name val="Calibri"/>
      <family val="0"/>
      <charset val="1"/>
    </font>
    <font>
      <sz val="13"/>
      <color rgb="FF6B7B74"/>
      <name val="Calibri"/>
      <family val="0"/>
      <charset val="1"/>
    </font>
    <font>
      <b val="true"/>
      <sz val="13"/>
      <color rgb="FF14463C"/>
      <name val="Calibri"/>
      <family val="0"/>
      <charset val="1"/>
    </font>
    <font>
      <sz val="11"/>
      <color rgb="FF1F2A26"/>
      <name val="Calibri"/>
      <family val="0"/>
      <charset val="1"/>
    </font>
    <font>
      <i val="true"/>
      <sz val="9.5"/>
      <color rgb="FF6B7B74"/>
      <name val="Calibri"/>
      <family val="0"/>
      <charset val="1"/>
    </font>
    <font>
      <b val="true"/>
      <sz val="10"/>
      <color rgb="FF1C7C6C"/>
      <name val="Calibri"/>
      <family val="0"/>
      <charset val="1"/>
    </font>
    <font>
      <b val="true"/>
      <sz val="22"/>
      <color rgb="FF14463C"/>
      <name val="Calibri"/>
      <family val="0"/>
      <charset val="1"/>
    </font>
    <font>
      <sz val="11"/>
      <color rgb="FF6B7B74"/>
      <name val="Calibri"/>
      <family val="0"/>
      <charset val="1"/>
    </font>
    <font>
      <sz val="10"/>
      <color rgb="FF6B7B74"/>
      <name val="Calibri"/>
      <family val="0"/>
      <charset val="1"/>
    </font>
    <font>
      <b val="true"/>
      <sz val="11"/>
      <color rgb="FFFFFFFF"/>
      <name val="Calibri"/>
      <family val="0"/>
      <charset val="1"/>
    </font>
    <font>
      <b val="true"/>
      <sz val="11"/>
      <color rgb="FF1F2A26"/>
      <name val="Calibri"/>
      <family val="0"/>
      <charset val="1"/>
    </font>
    <font>
      <b val="true"/>
      <sz val="10.5"/>
      <color rgb="FFFFFFFF"/>
      <name val="Calibri"/>
      <family val="0"/>
      <charset val="1"/>
    </font>
    <font>
      <sz val="10"/>
      <color rgb="FF1F2A26"/>
      <name val="Calibri"/>
      <family val="0"/>
      <charset val="1"/>
    </font>
    <font>
      <b val="true"/>
      <sz val="18"/>
      <color rgb="FF14463C"/>
      <name val="Calibri"/>
      <family val="0"/>
      <charset val="1"/>
    </font>
    <font>
      <sz val="9.5"/>
      <color rgb="FF6B7B74"/>
      <name val="Calibri"/>
      <family val="0"/>
      <charset val="1"/>
    </font>
    <font>
      <b val="true"/>
      <sz val="8"/>
      <color rgb="FF1D6348"/>
      <name val="Calibri"/>
      <family val="0"/>
      <charset val="1"/>
    </font>
    <font>
      <b val="true"/>
      <sz val="8"/>
      <color rgb="FF1D456B"/>
      <name val="Calibri"/>
      <family val="0"/>
      <charset val="1"/>
    </font>
    <font>
      <i val="true"/>
      <sz val="8"/>
      <color rgb="FF1F2A26"/>
      <name val="Arial"/>
      <family val="0"/>
      <charset val="1"/>
    </font>
    <font>
      <b val="true"/>
      <sz val="9.5"/>
      <color rgb="FFFFFFFF"/>
      <name val="Calibri"/>
      <family val="0"/>
      <charset val="1"/>
    </font>
    <font>
      <b val="true"/>
      <sz val="8"/>
      <color rgb="FFFFFFFF"/>
      <name val="Calibri"/>
      <family val="0"/>
      <charset val="1"/>
    </font>
    <font>
      <b val="true"/>
      <sz val="9"/>
      <color rgb="FFFFFFFF"/>
      <name val="Arial"/>
      <family val="0"/>
      <charset val="1"/>
    </font>
    <font>
      <sz val="10"/>
      <color rgb="FF0000FF"/>
      <name val="Calibri"/>
      <family val="0"/>
      <charset val="1"/>
    </font>
    <font>
      <sz val="9"/>
      <color rgb="FF1F2A26"/>
      <name val="Arial"/>
      <family val="0"/>
      <charset val="1"/>
    </font>
    <font>
      <sz val="9"/>
      <color rgb="FF4A235A"/>
      <name val="Arial"/>
      <family val="0"/>
      <charset val="1"/>
    </font>
    <font>
      <b val="true"/>
      <sz val="10"/>
      <color rgb="FFC0492B"/>
      <name val="Calibri"/>
      <family val="0"/>
      <charset val="1"/>
    </font>
    <font>
      <sz val="9"/>
      <color rgb="FF6B7B74"/>
      <name val="Calibri"/>
      <family val="0"/>
      <charset val="1"/>
    </font>
    <font>
      <i val="true"/>
      <sz val="8.5"/>
      <color rgb="FF6B7B74"/>
      <name val="Calibri"/>
      <family val="0"/>
      <charset val="1"/>
    </font>
    <font>
      <sz val="10"/>
      <name val="Arial"/>
      <family val="2"/>
    </font>
  </fonts>
  <fills count="22">
    <fill>
      <patternFill patternType="none"/>
    </fill>
    <fill>
      <patternFill patternType="gray125"/>
    </fill>
    <fill>
      <patternFill patternType="solid">
        <fgColor rgb="FFFFFFFF"/>
        <bgColor rgb="FFF4F7F5"/>
      </patternFill>
    </fill>
    <fill>
      <patternFill patternType="solid">
        <fgColor rgb="FFEAF1EE"/>
        <bgColor rgb="FFE8F5E9"/>
      </patternFill>
    </fill>
    <fill>
      <patternFill patternType="solid">
        <fgColor rgb="FFF4F7F5"/>
        <bgColor rgb="FFF5F0FF"/>
      </patternFill>
    </fill>
    <fill>
      <patternFill patternType="solid">
        <fgColor rgb="FF14463C"/>
        <bgColor rgb="FF1A3A5C"/>
      </patternFill>
    </fill>
    <fill>
      <patternFill patternType="solid">
        <fgColor rgb="FFCDE3D8"/>
        <bgColor rgb="FFC9D6D0"/>
      </patternFill>
    </fill>
    <fill>
      <patternFill patternType="solid">
        <fgColor rgb="FFF3E2A9"/>
        <bgColor rgb="FFF6CDA6"/>
      </patternFill>
    </fill>
    <fill>
      <patternFill patternType="solid">
        <fgColor rgb="FFF6CDA6"/>
        <bgColor rgb="FFF3E2A9"/>
      </patternFill>
    </fill>
    <fill>
      <patternFill patternType="solid">
        <fgColor rgb="FFEBB1A0"/>
        <bgColor rgb="FFF6CDA6"/>
      </patternFill>
    </fill>
    <fill>
      <patternFill patternType="solid">
        <fgColor rgb="FFD98C7C"/>
        <bgColor rgb="FFEBB1A0"/>
      </patternFill>
    </fill>
    <fill>
      <patternFill patternType="solid">
        <fgColor rgb="FF1C7C6C"/>
        <bgColor rgb="FF1D6348"/>
      </patternFill>
    </fill>
    <fill>
      <patternFill patternType="solid">
        <fgColor rgb="FFC0492B"/>
        <bgColor rgb="FF993366"/>
      </patternFill>
    </fill>
    <fill>
      <patternFill patternType="solid">
        <fgColor rgb="FFD6EFE6"/>
        <bgColor rgb="FFD6E8F5"/>
      </patternFill>
    </fill>
    <fill>
      <patternFill patternType="solid">
        <fgColor rgb="FFD6E8F5"/>
        <bgColor rgb="FFD6EFE6"/>
      </patternFill>
    </fill>
    <fill>
      <patternFill patternType="solid">
        <fgColor rgb="FF1A5C2E"/>
        <bgColor rgb="FF1D6348"/>
      </patternFill>
    </fill>
    <fill>
      <patternFill patternType="solid">
        <fgColor rgb="FF1A3A5C"/>
        <bgColor rgb="FF1D456B"/>
      </patternFill>
    </fill>
    <fill>
      <patternFill patternType="solid">
        <fgColor rgb="FF4A235A"/>
        <bgColor rgb="FF1F2A26"/>
      </patternFill>
    </fill>
    <fill>
      <patternFill patternType="solid">
        <fgColor rgb="FFFFF7E6"/>
        <bgColor rgb="FFF4F7F5"/>
      </patternFill>
    </fill>
    <fill>
      <patternFill patternType="solid">
        <fgColor rgb="FFE8F5E9"/>
        <bgColor rgb="FFEAF1EE"/>
      </patternFill>
    </fill>
    <fill>
      <patternFill patternType="solid">
        <fgColor rgb="FFE8F4FD"/>
        <bgColor rgb="FFEAF1EE"/>
      </patternFill>
    </fill>
    <fill>
      <patternFill patternType="solid">
        <fgColor rgb="FFF5F0FF"/>
        <bgColor rgb="FFF4F7F5"/>
      </patternFill>
    </fill>
  </fills>
  <borders count="5">
    <border diagonalUp="false" diagonalDown="false">
      <left/>
      <right/>
      <top/>
      <bottom/>
      <diagonal/>
    </border>
    <border diagonalUp="false" diagonalDown="false">
      <left style="thick">
        <color rgb="FFC0492B"/>
      </left>
      <right/>
      <top/>
      <bottom/>
      <diagonal/>
    </border>
    <border diagonalUp="false" diagonalDown="false">
      <left style="thin">
        <color rgb="FFC9D6D0"/>
      </left>
      <right style="thin">
        <color rgb="FFC9D6D0"/>
      </right>
      <top style="thin">
        <color rgb="FFC9D6D0"/>
      </top>
      <bottom style="thin">
        <color rgb="FFC9D6D0"/>
      </bottom>
      <diagonal/>
    </border>
    <border diagonalUp="false" diagonalDown="false">
      <left style="thin">
        <color rgb="FFC9D6D0"/>
      </left>
      <right/>
      <top style="thin">
        <color rgb="FFC9D6D0"/>
      </top>
      <bottom style="thin">
        <color rgb="FFC9D6D0"/>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left" vertical="center" textRotation="0" wrapText="false" indent="0" shrinkToFit="false"/>
      <protection locked="true" hidden="false"/>
    </xf>
    <xf numFmtId="164" fontId="5" fillId="0" borderId="0" xfId="0" applyFont="true" applyBorder="true" applyAlignment="true" applyProtection="true">
      <alignment horizontal="left" vertical="center" textRotation="0" wrapText="false" indent="0" shrinkToFit="false"/>
      <protection locked="true" hidden="false"/>
    </xf>
    <xf numFmtId="164" fontId="6" fillId="0" borderId="0" xfId="0" applyFont="true" applyBorder="true" applyAlignment="true" applyProtection="true">
      <alignment horizontal="left" vertical="center" textRotation="0" wrapText="true" indent="0" shrinkToFit="false"/>
      <protection locked="true" hidden="false"/>
    </xf>
    <xf numFmtId="164" fontId="7" fillId="2" borderId="0" xfId="0" applyFont="true" applyBorder="tru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left" vertical="center" textRotation="0" wrapText="true" indent="0" shrinkToFit="false"/>
      <protection locked="true" hidden="false"/>
    </xf>
    <xf numFmtId="164" fontId="8" fillId="3" borderId="0" xfId="0" applyFont="true" applyBorder="true" applyAlignment="true" applyProtection="true">
      <alignment horizontal="left" vertical="center" textRotation="0" wrapText="tru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left" vertical="center" textRotation="0" wrapText="true" indent="0" shrinkToFit="false"/>
      <protection locked="true" hidden="false"/>
    </xf>
    <xf numFmtId="164" fontId="9" fillId="4" borderId="1" xfId="0" applyFont="true" applyBorder="true" applyAlignment="true" applyProtection="true">
      <alignment horizontal="left" vertical="top" textRotation="0" wrapText="tru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true" applyAlignment="true" applyProtection="true">
      <alignment horizontal="general" vertical="bottom" textRotation="0" wrapText="false" indent="0" shrinkToFit="false"/>
      <protection locked="true" hidden="false"/>
    </xf>
    <xf numFmtId="164" fontId="7" fillId="3"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8" fillId="0" borderId="0" xfId="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true" applyAlignment="true" applyProtection="true">
      <alignment horizontal="left" vertical="center" textRotation="0" wrapText="false" indent="0" shrinkToFit="false"/>
      <protection locked="true" hidden="false"/>
    </xf>
    <xf numFmtId="164" fontId="14" fillId="5" borderId="2" xfId="0" applyFont="true" applyBorder="true" applyAlignment="true" applyProtection="true">
      <alignment horizontal="center" vertical="center" textRotation="0" wrapText="false" indent="0" shrinkToFit="false"/>
      <protection locked="true" hidden="false"/>
    </xf>
    <xf numFmtId="164" fontId="15" fillId="6" borderId="2" xfId="0" applyFont="true" applyBorder="true" applyAlignment="true" applyProtection="true">
      <alignment horizontal="center" vertical="center" textRotation="0" wrapText="false" indent="0" shrinkToFit="false"/>
      <protection locked="true" hidden="false"/>
    </xf>
    <xf numFmtId="164" fontId="8" fillId="0" borderId="2" xfId="0" applyFont="true" applyBorder="true" applyAlignment="true" applyProtection="true">
      <alignment horizontal="center" vertical="center" textRotation="0" wrapText="false" indent="0" shrinkToFit="false"/>
      <protection locked="true" hidden="false"/>
    </xf>
    <xf numFmtId="164" fontId="8" fillId="0" borderId="2" xfId="0" applyFont="true" applyBorder="true" applyAlignment="true" applyProtection="true">
      <alignment horizontal="left" vertical="center" textRotation="0" wrapText="false" indent="0" shrinkToFit="false"/>
      <protection locked="true" hidden="false"/>
    </xf>
    <xf numFmtId="164" fontId="15" fillId="7" borderId="2" xfId="0" applyFont="true" applyBorder="true" applyAlignment="true" applyProtection="true">
      <alignment horizontal="center" vertical="center" textRotation="0" wrapText="false" indent="0" shrinkToFit="false"/>
      <protection locked="true" hidden="false"/>
    </xf>
    <xf numFmtId="164" fontId="15" fillId="8" borderId="2" xfId="0" applyFont="true" applyBorder="true" applyAlignment="true" applyProtection="true">
      <alignment horizontal="center" vertical="center" textRotation="0" wrapText="false" indent="0" shrinkToFit="false"/>
      <protection locked="true" hidden="false"/>
    </xf>
    <xf numFmtId="164" fontId="15" fillId="9" borderId="2" xfId="0" applyFont="true" applyBorder="true" applyAlignment="true" applyProtection="true">
      <alignment horizontal="center" vertical="center" textRotation="0" wrapText="false" indent="0" shrinkToFit="false"/>
      <protection locked="true" hidden="false"/>
    </xf>
    <xf numFmtId="164" fontId="15" fillId="10" borderId="2" xfId="0" applyFont="true" applyBorder="true" applyAlignment="true" applyProtection="true">
      <alignment horizontal="center" vertical="center" textRotation="0" wrapText="false" indent="0" shrinkToFit="false"/>
      <protection locked="true" hidden="false"/>
    </xf>
    <xf numFmtId="164" fontId="16" fillId="11" borderId="3" xfId="0" applyFont="true" applyBorder="true" applyAlignment="true" applyProtection="true">
      <alignment horizontal="center" vertical="center" textRotation="0" wrapText="true" indent="0" shrinkToFit="false"/>
      <protection locked="true" hidden="false"/>
    </xf>
    <xf numFmtId="164" fontId="16" fillId="12" borderId="3" xfId="0" applyFont="true" applyBorder="true" applyAlignment="true" applyProtection="true">
      <alignment horizontal="center" vertical="center" textRotation="0" wrapText="true" indent="0" shrinkToFit="false"/>
      <protection locked="true" hidden="false"/>
    </xf>
    <xf numFmtId="164" fontId="17" fillId="0" borderId="3" xfId="0" applyFont="true" applyBorder="true" applyAlignment="true" applyProtection="true">
      <alignment horizontal="left" vertical="center" textRotation="0" wrapText="true" indent="0" shrinkToFit="false"/>
      <protection locked="true" hidden="false"/>
    </xf>
    <xf numFmtId="164" fontId="9" fillId="0" borderId="0" xfId="0" applyFont="true" applyBorder="true" applyAlignment="true" applyProtection="true">
      <alignment horizontal="left" vertical="top" textRotation="0" wrapText="true" indent="0" shrinkToFit="false"/>
      <protection locked="true" hidden="false"/>
    </xf>
    <xf numFmtId="164" fontId="18" fillId="0" borderId="0" xfId="0" applyFont="true" applyBorder="true" applyAlignment="true" applyProtection="true">
      <alignment horizontal="left" vertical="center" textRotation="0" wrapText="false" indent="0" shrinkToFit="false"/>
      <protection locked="true" hidden="false"/>
    </xf>
    <xf numFmtId="164" fontId="19" fillId="0" borderId="0" xfId="0" applyFont="true" applyBorder="true" applyAlignment="true" applyProtection="true">
      <alignment horizontal="left" vertical="center" textRotation="0" wrapText="false" indent="0" shrinkToFit="false"/>
      <protection locked="true" hidden="false"/>
    </xf>
    <xf numFmtId="164" fontId="20" fillId="13" borderId="0" xfId="0" applyFont="true" applyBorder="false" applyAlignment="true" applyProtection="true">
      <alignment horizontal="center" vertical="center" textRotation="0" wrapText="true" indent="0" shrinkToFit="false"/>
      <protection locked="true" hidden="false"/>
    </xf>
    <xf numFmtId="164" fontId="21" fillId="14" borderId="0" xfId="0" applyFont="true" applyBorder="false" applyAlignment="true" applyProtection="true">
      <alignment horizontal="center" vertical="center" textRotation="0" wrapText="true" indent="0" shrinkToFit="false"/>
      <protection locked="true" hidden="false"/>
    </xf>
    <xf numFmtId="164" fontId="22" fillId="0" borderId="0" xfId="0" applyFont="true" applyBorder="false" applyAlignment="true" applyProtection="true">
      <alignment horizontal="center" vertical="center" textRotation="0" wrapText="true" indent="0" shrinkToFit="false"/>
      <protection locked="true" hidden="false"/>
    </xf>
    <xf numFmtId="164" fontId="23" fillId="5" borderId="2" xfId="0" applyFont="true" applyBorder="true" applyAlignment="true" applyProtection="true">
      <alignment horizontal="center" vertical="center" textRotation="0" wrapText="true" indent="0" shrinkToFit="false"/>
      <protection locked="true" hidden="false"/>
    </xf>
    <xf numFmtId="164" fontId="24" fillId="5" borderId="2" xfId="0" applyFont="true" applyBorder="true" applyAlignment="true" applyProtection="true">
      <alignment horizontal="center" vertical="center" textRotation="0" wrapText="true" indent="0" shrinkToFit="false"/>
      <protection locked="true" hidden="false"/>
    </xf>
    <xf numFmtId="164" fontId="25" fillId="15" borderId="4" xfId="0" applyFont="true" applyBorder="true" applyAlignment="true" applyProtection="true">
      <alignment horizontal="center" vertical="center" textRotation="0" wrapText="true" indent="0" shrinkToFit="false"/>
      <protection locked="true" hidden="false"/>
    </xf>
    <xf numFmtId="164" fontId="25" fillId="16" borderId="4" xfId="0" applyFont="true" applyBorder="true" applyAlignment="true" applyProtection="true">
      <alignment horizontal="center" vertical="center" textRotation="0" wrapText="true" indent="0" shrinkToFit="false"/>
      <protection locked="true" hidden="false"/>
    </xf>
    <xf numFmtId="164" fontId="25" fillId="17" borderId="4" xfId="0" applyFont="true" applyBorder="true" applyAlignment="true" applyProtection="true">
      <alignment horizontal="center" vertical="center" textRotation="0" wrapText="true" indent="0" shrinkToFit="false"/>
      <protection locked="true" hidden="false"/>
    </xf>
    <xf numFmtId="164" fontId="17" fillId="2" borderId="2" xfId="0" applyFont="true" applyBorder="true" applyAlignment="true" applyProtection="true">
      <alignment horizontal="left" vertical="center" textRotation="0" wrapText="false" indent="0" shrinkToFit="false"/>
      <protection locked="false" hidden="false"/>
    </xf>
    <xf numFmtId="164" fontId="17" fillId="2" borderId="2" xfId="0" applyFont="true" applyBorder="true" applyAlignment="true" applyProtection="true">
      <alignment horizontal="center" vertical="center" textRotation="0" wrapText="false" indent="0" shrinkToFit="false"/>
      <protection locked="false" hidden="false"/>
    </xf>
    <xf numFmtId="165" fontId="26" fillId="18" borderId="2" xfId="0" applyFont="true" applyBorder="true" applyAlignment="true" applyProtection="true">
      <alignment horizontal="center" vertical="center" textRotation="0" wrapText="false" indent="0" shrinkToFit="false"/>
      <protection locked="false" hidden="false"/>
    </xf>
    <xf numFmtId="166" fontId="26" fillId="18" borderId="2" xfId="0" applyFont="true" applyBorder="true" applyAlignment="true" applyProtection="true">
      <alignment horizontal="center" vertical="center" textRotation="0" wrapText="false" indent="0" shrinkToFit="false"/>
      <protection locked="false" hidden="false"/>
    </xf>
    <xf numFmtId="166" fontId="17" fillId="2" borderId="2" xfId="0" applyFont="true" applyBorder="true" applyAlignment="true" applyProtection="true">
      <alignment horizontal="center" vertical="center" textRotation="0" wrapText="false" indent="0" shrinkToFit="false"/>
      <protection locked="true" hidden="false"/>
    </xf>
    <xf numFmtId="167" fontId="26" fillId="18" borderId="2" xfId="0" applyFont="true" applyBorder="true" applyAlignment="true" applyProtection="true">
      <alignment horizontal="center" vertical="center" textRotation="0" wrapText="false" indent="0" shrinkToFit="false"/>
      <protection locked="false" hidden="false"/>
    </xf>
    <xf numFmtId="164" fontId="17" fillId="2" borderId="2" xfId="0" applyFont="true" applyBorder="true" applyAlignment="true" applyProtection="true">
      <alignment horizontal="center" vertical="center" textRotation="0" wrapText="false" indent="0" shrinkToFit="false"/>
      <protection locked="true" hidden="false"/>
    </xf>
    <xf numFmtId="168" fontId="17" fillId="2" borderId="2" xfId="0" applyFont="true" applyBorder="true" applyAlignment="true" applyProtection="true">
      <alignment horizontal="center" vertical="center" textRotation="0" wrapText="false" indent="0" shrinkToFit="false"/>
      <protection locked="true" hidden="false"/>
    </xf>
    <xf numFmtId="169" fontId="17" fillId="2" borderId="2" xfId="0" applyFont="true" applyBorder="true" applyAlignment="true" applyProtection="true">
      <alignment horizontal="center" vertical="center" textRotation="0" wrapText="false" indent="0" shrinkToFit="false"/>
      <protection locked="true" hidden="false"/>
    </xf>
    <xf numFmtId="167" fontId="17" fillId="2" borderId="2" xfId="0" applyFont="true" applyBorder="true" applyAlignment="true" applyProtection="true">
      <alignment horizontal="center" vertical="center" textRotation="0" wrapText="false" indent="0" shrinkToFit="false"/>
      <protection locked="true" hidden="false"/>
    </xf>
    <xf numFmtId="166" fontId="27" fillId="19" borderId="4" xfId="0" applyFont="true" applyBorder="true" applyAlignment="true" applyProtection="true">
      <alignment horizontal="center" vertical="center" textRotation="0" wrapText="true" indent="0" shrinkToFit="false"/>
      <protection locked="true" hidden="false"/>
    </xf>
    <xf numFmtId="167" fontId="27" fillId="20" borderId="4" xfId="0" applyFont="true" applyBorder="true" applyAlignment="true" applyProtection="true">
      <alignment horizontal="center" vertical="center" textRotation="0" wrapText="true" indent="0" shrinkToFit="false"/>
      <protection locked="true" hidden="false"/>
    </xf>
    <xf numFmtId="169" fontId="28" fillId="21" borderId="4" xfId="0" applyFont="true" applyBorder="true" applyAlignment="true" applyProtection="true">
      <alignment horizontal="center" vertical="center" textRotation="0" wrapText="true" indent="0" shrinkToFit="false"/>
      <protection locked="true" hidden="false"/>
    </xf>
    <xf numFmtId="164" fontId="17" fillId="4" borderId="2" xfId="0" applyFont="true" applyBorder="true" applyAlignment="true" applyProtection="true">
      <alignment horizontal="left" vertical="center" textRotation="0" wrapText="false" indent="0" shrinkToFit="false"/>
      <protection locked="false" hidden="false"/>
    </xf>
    <xf numFmtId="164" fontId="17" fillId="4" borderId="2" xfId="0" applyFont="true" applyBorder="true" applyAlignment="true" applyProtection="true">
      <alignment horizontal="center" vertical="center" textRotation="0" wrapText="false" indent="0" shrinkToFit="false"/>
      <protection locked="false" hidden="false"/>
    </xf>
    <xf numFmtId="166" fontId="17" fillId="4" borderId="2" xfId="0" applyFont="true" applyBorder="true" applyAlignment="true" applyProtection="true">
      <alignment horizontal="center" vertical="center" textRotation="0" wrapText="false" indent="0" shrinkToFit="false"/>
      <protection locked="true" hidden="false"/>
    </xf>
    <xf numFmtId="164" fontId="17" fillId="4" borderId="2" xfId="0" applyFont="true" applyBorder="true" applyAlignment="true" applyProtection="true">
      <alignment horizontal="center" vertical="center" textRotation="0" wrapText="false" indent="0" shrinkToFit="false"/>
      <protection locked="true" hidden="false"/>
    </xf>
    <xf numFmtId="168" fontId="17" fillId="4" borderId="2" xfId="0" applyFont="true" applyBorder="true" applyAlignment="true" applyProtection="true">
      <alignment horizontal="center" vertical="center" textRotation="0" wrapText="false" indent="0" shrinkToFit="false"/>
      <protection locked="true" hidden="false"/>
    </xf>
    <xf numFmtId="169" fontId="17" fillId="4" borderId="2" xfId="0" applyFont="true" applyBorder="true" applyAlignment="true" applyProtection="true">
      <alignment horizontal="center" vertical="center" textRotation="0" wrapText="false" indent="0" shrinkToFit="false"/>
      <protection locked="true" hidden="false"/>
    </xf>
    <xf numFmtId="167" fontId="17" fillId="4" borderId="2" xfId="0" applyFont="true" applyBorder="true" applyAlignment="true" applyProtection="true">
      <alignment horizontal="center" vertical="center" textRotation="0" wrapText="false" indent="0" shrinkToFit="false"/>
      <protection locked="true" hidden="false"/>
    </xf>
    <xf numFmtId="164" fontId="29" fillId="4" borderId="2" xfId="0" applyFont="true" applyBorder="true" applyAlignment="true" applyProtection="true">
      <alignment horizontal="left" vertical="center" textRotation="0" wrapText="false" indent="0" shrinkToFit="false"/>
      <protection locked="false" hidden="false"/>
    </xf>
    <xf numFmtId="164" fontId="30" fillId="0" borderId="0" xfId="0" applyFont="true" applyBorder="true" applyAlignment="true" applyProtection="true">
      <alignment horizontal="left" vertical="center" textRotation="0" wrapText="true" indent="0" shrinkToFit="false"/>
      <protection locked="true" hidden="false"/>
    </xf>
    <xf numFmtId="164" fontId="31" fillId="0" borderId="0" xfId="0" applyFont="true" applyBorder="tru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D98C7C"/>
        </patternFill>
      </fill>
    </dxf>
    <dxf>
      <fill>
        <patternFill>
          <bgColor rgb="FFEBB1A0"/>
        </patternFill>
      </fill>
    </dxf>
    <dxf>
      <fill>
        <patternFill>
          <bgColor rgb="FFF6CDA6"/>
        </patternFill>
      </fill>
    </dxf>
    <dxf>
      <fill>
        <patternFill>
          <bgColor rgb="FFF3E2A9"/>
        </patternFill>
      </fill>
    </dxf>
    <dxf>
      <fill>
        <patternFill>
          <bgColor rgb="FFCDE3D8"/>
        </patternFill>
      </fill>
    </dxf>
  </dxfs>
  <colors>
    <indexedColors>
      <rgbColor rgb="FF000000"/>
      <rgbColor rgb="FFFFFFFF"/>
      <rgbColor rgb="FFFF0000"/>
      <rgbColor rgb="FF00FF00"/>
      <rgbColor rgb="FF0000FF"/>
      <rgbColor rgb="FFEAF1EE"/>
      <rgbColor rgb="FFFF00FF"/>
      <rgbColor rgb="FF00FFFF"/>
      <rgbColor rgb="FF800000"/>
      <rgbColor rgb="FF1A5C2E"/>
      <rgbColor rgb="FF000080"/>
      <rgbColor rgb="FF808000"/>
      <rgbColor rgb="FF800080"/>
      <rgbColor rgb="FF1C7C6C"/>
      <rgbColor rgb="FFB0B0B0"/>
      <rgbColor rgb="FF6B7B74"/>
      <rgbColor rgb="FFF5F0FF"/>
      <rgbColor rgb="FF993366"/>
      <rgbColor rgb="FFFFF7E6"/>
      <rgbColor rgb="FFD6EFE6"/>
      <rgbColor rgb="FF4A235A"/>
      <rgbColor rgb="FFD98C7C"/>
      <rgbColor rgb="FF0066CC"/>
      <rgbColor rgb="FFC9D6D0"/>
      <rgbColor rgb="FF000080"/>
      <rgbColor rgb="FFFF00FF"/>
      <rgbColor rgb="FFF4F7F5"/>
      <rgbColor rgb="FF00FFFF"/>
      <rgbColor rgb="FF800080"/>
      <rgbColor rgb="FF800000"/>
      <rgbColor rgb="FF1D6348"/>
      <rgbColor rgb="FF0000FF"/>
      <rgbColor rgb="FF00CCFF"/>
      <rgbColor rgb="FFE8F4FD"/>
      <rgbColor rgb="FFE8F5E9"/>
      <rgbColor rgb="FFF3E2A9"/>
      <rgbColor rgb="FFCDE3D8"/>
      <rgbColor rgb="FFEBB1A0"/>
      <rgbColor rgb="FFD6E8F5"/>
      <rgbColor rgb="FFF6CDA6"/>
      <rgbColor rgb="FF3366FF"/>
      <rgbColor rgb="FF33CCCC"/>
      <rgbColor rgb="FF99CC00"/>
      <rgbColor rgb="FFFFCC00"/>
      <rgbColor rgb="FFFF9900"/>
      <rgbColor rgb="FFFF6600"/>
      <rgbColor rgb="FF666699"/>
      <rgbColor rgb="FF969696"/>
      <rgbColor rgb="FF1A3A5C"/>
      <rgbColor rgb="FF339966"/>
      <rgbColor rgb="FF14463C"/>
      <rgbColor rgb="FF333300"/>
      <rgbColor rgb="FFC0492B"/>
      <rgbColor rgb="FF993366"/>
      <rgbColor rgb="FF1D456B"/>
      <rgbColor rgb="FF1F2A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23"/>
  <sheetViews>
    <sheetView showFormulas="false" showGridLines="false" showRowColHeaders="true" showZeros="true" rightToLeft="false" tabSelected="false" showOutlineSymbols="true" defaultGridColor="true" view="normal" topLeftCell="A7" colorId="64" zoomScale="202" zoomScaleNormal="202" zoomScalePageLayoutView="100" workbookViewId="0">
      <selection pane="topLeft" activeCell="AU45" activeCellId="0" sqref="AU45"/>
    </sheetView>
  </sheetViews>
  <sheetFormatPr defaultColWidth="8.714843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6" min="3" style="1" width="20"/>
    <col collapsed="false" customWidth="true" hidden="false" outlineLevel="0" max="7" min="7" style="1" width="2"/>
  </cols>
  <sheetData>
    <row r="2" customFormat="false" ht="15" hidden="false" customHeight="true" outlineLevel="0" collapsed="false">
      <c r="B2" s="2" t="s">
        <v>0</v>
      </c>
      <c r="C2" s="2"/>
      <c r="D2" s="2"/>
      <c r="E2" s="2"/>
      <c r="F2" s="2"/>
    </row>
    <row r="4" customFormat="false" ht="15" hidden="false" customHeight="true" outlineLevel="0" collapsed="false">
      <c r="B4" s="3" t="s">
        <v>1</v>
      </c>
      <c r="C4" s="3"/>
      <c r="D4" s="3"/>
      <c r="E4" s="3"/>
      <c r="F4" s="3"/>
    </row>
    <row r="5" customFormat="false" ht="15" hidden="false" customHeight="true" outlineLevel="0" collapsed="false">
      <c r="B5" s="3"/>
      <c r="C5" s="3"/>
      <c r="D5" s="3"/>
      <c r="E5" s="3"/>
      <c r="F5" s="3"/>
    </row>
    <row r="6" customFormat="false" ht="15" hidden="false" customHeight="true" outlineLevel="0" collapsed="false">
      <c r="B6" s="4" t="s">
        <v>2</v>
      </c>
      <c r="C6" s="4"/>
      <c r="D6" s="4"/>
      <c r="E6" s="4"/>
      <c r="F6" s="4"/>
    </row>
    <row r="7" customFormat="false" ht="15" hidden="false" customHeight="true" outlineLevel="0" collapsed="false">
      <c r="B7" s="4"/>
      <c r="C7" s="4"/>
      <c r="D7" s="4"/>
      <c r="E7" s="4"/>
      <c r="F7" s="4"/>
    </row>
    <row r="9" customFormat="false" ht="15.75" hidden="false" customHeight="true" outlineLevel="0" collapsed="false">
      <c r="B9" s="5" t="s">
        <v>3</v>
      </c>
      <c r="C9" s="5"/>
      <c r="D9" s="5"/>
      <c r="E9" s="5"/>
      <c r="F9" s="5"/>
    </row>
    <row r="10" customFormat="false" ht="24" hidden="false" customHeight="true" outlineLevel="0" collapsed="false">
      <c r="B10" s="6" t="s">
        <v>4</v>
      </c>
      <c r="C10" s="7" t="s">
        <v>5</v>
      </c>
      <c r="D10" s="7"/>
      <c r="E10" s="7"/>
      <c r="F10" s="7"/>
    </row>
    <row r="11" customFormat="false" ht="24" hidden="false" customHeight="true" outlineLevel="0" collapsed="false">
      <c r="B11" s="6" t="s">
        <v>6</v>
      </c>
      <c r="C11" s="7" t="s">
        <v>7</v>
      </c>
      <c r="D11" s="7"/>
      <c r="E11" s="7"/>
      <c r="F11" s="7"/>
    </row>
    <row r="12" customFormat="false" ht="24" hidden="false" customHeight="true" outlineLevel="0" collapsed="false">
      <c r="B12" s="6" t="s">
        <v>8</v>
      </c>
      <c r="C12" s="7" t="s">
        <v>9</v>
      </c>
      <c r="D12" s="7"/>
      <c r="E12" s="7"/>
      <c r="F12" s="7"/>
    </row>
    <row r="13" customFormat="false" ht="24" hidden="false" customHeight="true" outlineLevel="0" collapsed="false">
      <c r="B13" s="6" t="s">
        <v>10</v>
      </c>
      <c r="C13" s="7" t="s">
        <v>11</v>
      </c>
      <c r="D13" s="7"/>
      <c r="E13" s="7"/>
      <c r="F13" s="7"/>
    </row>
    <row r="14" customFormat="false" ht="24" hidden="false" customHeight="true" outlineLevel="0" collapsed="false">
      <c r="B14" s="6" t="s">
        <v>12</v>
      </c>
      <c r="C14" s="7" t="s">
        <v>13</v>
      </c>
      <c r="D14" s="7"/>
      <c r="E14" s="7"/>
      <c r="F14" s="7"/>
    </row>
    <row r="16" customFormat="false" ht="15.75" hidden="false" customHeight="true" outlineLevel="0" collapsed="false">
      <c r="B16" s="8" t="s">
        <v>14</v>
      </c>
      <c r="C16" s="8"/>
      <c r="D16" s="8"/>
      <c r="E16" s="8"/>
      <c r="F16" s="8"/>
    </row>
    <row r="17" customFormat="false" ht="19.5" hidden="false" customHeight="true" outlineLevel="0" collapsed="false">
      <c r="B17" s="9" t="s">
        <v>15</v>
      </c>
      <c r="C17" s="9"/>
      <c r="D17" s="9"/>
      <c r="E17" s="9"/>
      <c r="F17" s="9"/>
    </row>
    <row r="18" customFormat="false" ht="19.5" hidden="false" customHeight="true" outlineLevel="0" collapsed="false">
      <c r="B18" s="9" t="s">
        <v>16</v>
      </c>
      <c r="C18" s="9"/>
      <c r="D18" s="9"/>
      <c r="E18" s="9"/>
      <c r="F18" s="9"/>
    </row>
    <row r="19" customFormat="false" ht="19.5" hidden="false" customHeight="true" outlineLevel="0" collapsed="false">
      <c r="B19" s="9" t="s">
        <v>17</v>
      </c>
      <c r="C19" s="9"/>
      <c r="D19" s="9"/>
      <c r="E19" s="9"/>
      <c r="F19" s="9"/>
    </row>
    <row r="21" customFormat="false" ht="15" hidden="false" customHeight="true" outlineLevel="0" collapsed="false">
      <c r="B21" s="10" t="s">
        <v>18</v>
      </c>
      <c r="C21" s="10"/>
      <c r="D21" s="10"/>
      <c r="E21" s="10"/>
      <c r="F21" s="10"/>
    </row>
    <row r="22" customFormat="false" ht="15" hidden="false" customHeight="true" outlineLevel="0" collapsed="false">
      <c r="B22" s="10"/>
      <c r="C22" s="10"/>
      <c r="D22" s="10"/>
      <c r="E22" s="10"/>
      <c r="F22" s="10"/>
    </row>
    <row r="23" customFormat="false" ht="15" hidden="false" customHeight="true" outlineLevel="0" collapsed="false">
      <c r="B23" s="10"/>
      <c r="C23" s="10"/>
      <c r="D23" s="10"/>
      <c r="E23" s="10"/>
      <c r="F23" s="10"/>
    </row>
  </sheetData>
  <mergeCells count="14">
    <mergeCell ref="B2:F2"/>
    <mergeCell ref="B4:F5"/>
    <mergeCell ref="B6:F7"/>
    <mergeCell ref="B9:F9"/>
    <mergeCell ref="C10:F10"/>
    <mergeCell ref="C11:F11"/>
    <mergeCell ref="C12:F12"/>
    <mergeCell ref="C13:F13"/>
    <mergeCell ref="C14:F14"/>
    <mergeCell ref="B16:F16"/>
    <mergeCell ref="B17:F17"/>
    <mergeCell ref="B18:F18"/>
    <mergeCell ref="B19:F19"/>
    <mergeCell ref="B21:F23"/>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32"/>
  <sheetViews>
    <sheetView showFormulas="false" showGridLines="false" showRowColHeaders="true" showZeros="true" rightToLeft="false" tabSelected="false" showOutlineSymbols="true" defaultGridColor="true" view="normal" topLeftCell="A1" colorId="64" zoomScale="232" zoomScaleNormal="232" zoomScalePageLayoutView="100" workbookViewId="0">
      <selection pane="topLeft" activeCell="C39" activeCellId="0" sqref="C39"/>
    </sheetView>
  </sheetViews>
  <sheetFormatPr defaultColWidth="8.714843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3" min="3" style="1" width="88"/>
  </cols>
  <sheetData>
    <row r="1" customFormat="false" ht="15" hidden="false" customHeight="true" outlineLevel="0" collapsed="false">
      <c r="B1" s="11" t="s">
        <v>0</v>
      </c>
      <c r="C1" s="11"/>
    </row>
    <row r="2" customFormat="false" ht="26.25" hidden="false" customHeight="true" outlineLevel="0" collapsed="false">
      <c r="B2" s="12" t="s">
        <v>19</v>
      </c>
      <c r="C2" s="12"/>
    </row>
    <row r="3" customFormat="false" ht="15" hidden="false" customHeight="true" outlineLevel="0" collapsed="false">
      <c r="B3" s="13" t="s">
        <v>20</v>
      </c>
      <c r="C3" s="13"/>
    </row>
    <row r="5" customFormat="false" ht="15.75" hidden="false" customHeight="true" outlineLevel="0" collapsed="false">
      <c r="B5" s="14" t="s">
        <v>21</v>
      </c>
      <c r="C5" s="14"/>
    </row>
    <row r="6" customFormat="false" ht="30" hidden="false" customHeight="true" outlineLevel="0" collapsed="false">
      <c r="B6" s="15" t="s">
        <v>22</v>
      </c>
      <c r="C6" s="16" t="s">
        <v>23</v>
      </c>
    </row>
    <row r="7" customFormat="false" ht="30" hidden="false" customHeight="true" outlineLevel="0" collapsed="false">
      <c r="B7" s="15" t="s">
        <v>24</v>
      </c>
      <c r="C7" s="16" t="s">
        <v>25</v>
      </c>
    </row>
    <row r="8" customFormat="false" ht="30" hidden="false" customHeight="true" outlineLevel="0" collapsed="false">
      <c r="B8" s="15" t="s">
        <v>26</v>
      </c>
      <c r="C8" s="16" t="s">
        <v>27</v>
      </c>
    </row>
    <row r="9" customFormat="false" ht="30" hidden="false" customHeight="true" outlineLevel="0" collapsed="false">
      <c r="B9" s="15" t="s">
        <v>28</v>
      </c>
      <c r="C9" s="16" t="s">
        <v>29</v>
      </c>
    </row>
    <row r="10" customFormat="false" ht="30" hidden="false" customHeight="true" outlineLevel="0" collapsed="false">
      <c r="B10" s="15" t="s">
        <v>30</v>
      </c>
      <c r="C10" s="16" t="s">
        <v>31</v>
      </c>
    </row>
    <row r="11" customFormat="false" ht="30" hidden="false" customHeight="true" outlineLevel="0" collapsed="false">
      <c r="B11" s="15" t="s">
        <v>32</v>
      </c>
      <c r="C11" s="16" t="s">
        <v>33</v>
      </c>
    </row>
    <row r="13" customFormat="false" ht="15.75" hidden="false" customHeight="true" outlineLevel="0" collapsed="false">
      <c r="B13" s="14" t="s">
        <v>34</v>
      </c>
      <c r="C13" s="14"/>
    </row>
    <row r="14" customFormat="false" ht="30" hidden="false" customHeight="true" outlineLevel="0" collapsed="false">
      <c r="B14" s="15" t="s">
        <v>35</v>
      </c>
      <c r="C14" s="16" t="s">
        <v>36</v>
      </c>
    </row>
    <row r="15" customFormat="false" ht="30" hidden="false" customHeight="true" outlineLevel="0" collapsed="false">
      <c r="B15" s="15" t="s">
        <v>37</v>
      </c>
      <c r="C15" s="16" t="s">
        <v>38</v>
      </c>
    </row>
    <row r="16" customFormat="false" ht="30" hidden="false" customHeight="true" outlineLevel="0" collapsed="false">
      <c r="B16" s="15" t="s">
        <v>39</v>
      </c>
      <c r="C16" s="16" t="s">
        <v>40</v>
      </c>
    </row>
    <row r="17" customFormat="false" ht="30" hidden="false" customHeight="true" outlineLevel="0" collapsed="false">
      <c r="B17" s="15" t="s">
        <v>41</v>
      </c>
      <c r="C17" s="16" t="s">
        <v>42</v>
      </c>
    </row>
    <row r="18" customFormat="false" ht="30" hidden="false" customHeight="true" outlineLevel="0" collapsed="false">
      <c r="B18" s="15" t="s">
        <v>43</v>
      </c>
      <c r="C18" s="16" t="s">
        <v>44</v>
      </c>
    </row>
    <row r="19" customFormat="false" ht="30" hidden="false" customHeight="true" outlineLevel="0" collapsed="false">
      <c r="B19" s="15" t="s">
        <v>45</v>
      </c>
      <c r="C19" s="16" t="s">
        <v>46</v>
      </c>
    </row>
    <row r="21" customFormat="false" ht="15.75" hidden="false" customHeight="true" outlineLevel="0" collapsed="false">
      <c r="B21" s="14" t="s">
        <v>47</v>
      </c>
      <c r="C21" s="14"/>
    </row>
    <row r="22" customFormat="false" ht="43.5" hidden="false" customHeight="true" outlineLevel="0" collapsed="false">
      <c r="B22" s="9" t="s">
        <v>48</v>
      </c>
      <c r="C22" s="9"/>
    </row>
    <row r="24" customFormat="false" ht="15.75" hidden="false" customHeight="true" outlineLevel="0" collapsed="false">
      <c r="B24" s="14" t="s">
        <v>49</v>
      </c>
      <c r="C24" s="14"/>
    </row>
    <row r="25" customFormat="false" ht="21.75" hidden="false" customHeight="true" outlineLevel="0" collapsed="false">
      <c r="B25" s="9" t="s">
        <v>50</v>
      </c>
      <c r="C25" s="9"/>
    </row>
    <row r="26" customFormat="false" ht="21.75" hidden="false" customHeight="true" outlineLevel="0" collapsed="false">
      <c r="B26" s="9" t="s">
        <v>51</v>
      </c>
      <c r="C26" s="9"/>
    </row>
    <row r="27" customFormat="false" ht="21.75" hidden="false" customHeight="true" outlineLevel="0" collapsed="false">
      <c r="B27" s="9" t="s">
        <v>52</v>
      </c>
      <c r="C27" s="9"/>
    </row>
    <row r="28" customFormat="false" ht="21.75" hidden="false" customHeight="true" outlineLevel="0" collapsed="false">
      <c r="B28" s="9" t="s">
        <v>53</v>
      </c>
      <c r="C28" s="9"/>
    </row>
    <row r="30" customFormat="false" ht="15" hidden="false" customHeight="true" outlineLevel="0" collapsed="false">
      <c r="B30" s="10" t="s">
        <v>18</v>
      </c>
      <c r="C30" s="10"/>
    </row>
    <row r="31" customFormat="false" ht="15" hidden="false" customHeight="true" outlineLevel="0" collapsed="false">
      <c r="B31" s="10"/>
      <c r="C31" s="10"/>
    </row>
    <row r="32" customFormat="false" ht="15" hidden="false" customHeight="true" outlineLevel="0" collapsed="false">
      <c r="B32" s="10"/>
      <c r="C32" s="10"/>
    </row>
  </sheetData>
  <mergeCells count="13">
    <mergeCell ref="B1:C1"/>
    <mergeCell ref="B2:C2"/>
    <mergeCell ref="B3:C3"/>
    <mergeCell ref="B5:C5"/>
    <mergeCell ref="B13:C13"/>
    <mergeCell ref="B21:C21"/>
    <mergeCell ref="B22:C22"/>
    <mergeCell ref="B24:C24"/>
    <mergeCell ref="B25:C25"/>
    <mergeCell ref="B26:C26"/>
    <mergeCell ref="B27:C27"/>
    <mergeCell ref="B28:C28"/>
    <mergeCell ref="B30:C32"/>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G33"/>
  <sheetViews>
    <sheetView showFormulas="false" showGridLines="false" showRowColHeaders="true" showZeros="true" rightToLeft="false" tabSelected="false" showOutlineSymbols="true" defaultGridColor="true" view="normal" topLeftCell="A1" colorId="64" zoomScale="220" zoomScaleNormal="220" zoomScalePageLayoutView="100" workbookViewId="0">
      <selection pane="topLeft" activeCell="D42" activeCellId="0" sqref="D42"/>
    </sheetView>
  </sheetViews>
  <sheetFormatPr defaultColWidth="8.714843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4" min="3" style="1" width="16"/>
    <col collapsed="false" customWidth="true" hidden="false" outlineLevel="0" max="5" min="5" style="1" width="26"/>
    <col collapsed="false" customWidth="true" hidden="false" outlineLevel="0" max="6" min="6" style="1" width="16"/>
    <col collapsed="false" customWidth="true" hidden="false" outlineLevel="0" max="7" min="7" style="1" width="26"/>
  </cols>
  <sheetData>
    <row r="1" customFormat="false" ht="15" hidden="false" customHeight="true" outlineLevel="0" collapsed="false">
      <c r="B1" s="11" t="s">
        <v>0</v>
      </c>
      <c r="C1" s="11"/>
      <c r="D1" s="11"/>
      <c r="E1" s="11"/>
      <c r="F1" s="11"/>
      <c r="G1" s="11"/>
    </row>
    <row r="2" customFormat="false" ht="26.25" hidden="false" customHeight="true" outlineLevel="0" collapsed="false">
      <c r="B2" s="12" t="s">
        <v>54</v>
      </c>
      <c r="C2" s="12"/>
      <c r="D2" s="12"/>
      <c r="E2" s="12"/>
      <c r="F2" s="12"/>
      <c r="G2" s="12"/>
    </row>
    <row r="4" customFormat="false" ht="15.75" hidden="false" customHeight="true" outlineLevel="0" collapsed="false">
      <c r="B4" s="17" t="s">
        <v>55</v>
      </c>
    </row>
    <row r="5" customFormat="false" ht="15" hidden="false" customHeight="true" outlineLevel="0" collapsed="false">
      <c r="B5" s="18" t="s">
        <v>56</v>
      </c>
      <c r="C5" s="19" t="n">
        <v>10</v>
      </c>
      <c r="D5" s="20" t="s">
        <v>57</v>
      </c>
      <c r="E5" s="20"/>
      <c r="F5" s="20"/>
      <c r="G5" s="20"/>
    </row>
    <row r="6" customFormat="false" ht="15" hidden="false" customHeight="true" outlineLevel="0" collapsed="false">
      <c r="B6" s="18" t="s">
        <v>58</v>
      </c>
      <c r="C6" s="19" t="n">
        <v>20000000</v>
      </c>
      <c r="D6" s="20" t="s">
        <v>59</v>
      </c>
      <c r="E6" s="20"/>
      <c r="F6" s="20"/>
      <c r="G6" s="20"/>
    </row>
    <row r="8" customFormat="false" ht="15.75" hidden="false" customHeight="true" outlineLevel="0" collapsed="false">
      <c r="B8" s="17" t="s">
        <v>60</v>
      </c>
    </row>
    <row r="9" customFormat="false" ht="15" hidden="false" customHeight="true" outlineLevel="0" collapsed="false">
      <c r="B9" s="21" t="s">
        <v>39</v>
      </c>
      <c r="C9" s="21" t="s">
        <v>61</v>
      </c>
      <c r="D9" s="21" t="s">
        <v>62</v>
      </c>
      <c r="E9" s="21"/>
      <c r="F9" s="21"/>
      <c r="G9" s="21"/>
    </row>
    <row r="10" customFormat="false" ht="15" hidden="false" customHeight="true" outlineLevel="0" collapsed="false">
      <c r="B10" s="22" t="s">
        <v>63</v>
      </c>
      <c r="C10" s="23" t="s">
        <v>64</v>
      </c>
      <c r="D10" s="24" t="s">
        <v>65</v>
      </c>
      <c r="E10" s="24"/>
      <c r="F10" s="24"/>
      <c r="G10" s="24"/>
    </row>
    <row r="11" customFormat="false" ht="15" hidden="false" customHeight="true" outlineLevel="0" collapsed="false">
      <c r="B11" s="25" t="s">
        <v>66</v>
      </c>
      <c r="C11" s="23" t="s">
        <v>67</v>
      </c>
      <c r="D11" s="24" t="s">
        <v>68</v>
      </c>
      <c r="E11" s="24"/>
      <c r="F11" s="24"/>
      <c r="G11" s="24"/>
    </row>
    <row r="12" customFormat="false" ht="15" hidden="false" customHeight="true" outlineLevel="0" collapsed="false">
      <c r="B12" s="26" t="s">
        <v>69</v>
      </c>
      <c r="C12" s="23" t="s">
        <v>70</v>
      </c>
      <c r="D12" s="24" t="s">
        <v>71</v>
      </c>
      <c r="E12" s="24"/>
      <c r="F12" s="24"/>
      <c r="G12" s="24"/>
    </row>
    <row r="13" customFormat="false" ht="15" hidden="false" customHeight="true" outlineLevel="0" collapsed="false">
      <c r="B13" s="27" t="s">
        <v>72</v>
      </c>
      <c r="C13" s="23" t="s">
        <v>73</v>
      </c>
      <c r="D13" s="24" t="s">
        <v>74</v>
      </c>
      <c r="E13" s="24"/>
      <c r="F13" s="24"/>
      <c r="G13" s="24"/>
    </row>
    <row r="14" customFormat="false" ht="15" hidden="false" customHeight="true" outlineLevel="0" collapsed="false">
      <c r="B14" s="28" t="s">
        <v>75</v>
      </c>
      <c r="C14" s="23" t="s">
        <v>76</v>
      </c>
      <c r="D14" s="24" t="s">
        <v>77</v>
      </c>
      <c r="E14" s="24"/>
      <c r="F14" s="24"/>
      <c r="G14" s="24"/>
    </row>
    <row r="16" customFormat="false" ht="15.75" hidden="false" customHeight="true" outlineLevel="0" collapsed="false">
      <c r="B16" s="17" t="s">
        <v>78</v>
      </c>
    </row>
    <row r="17" customFormat="false" ht="15" hidden="false" customHeight="true" outlineLevel="0" collapsed="false">
      <c r="B17" s="21" t="s">
        <v>79</v>
      </c>
      <c r="C17" s="21" t="s">
        <v>80</v>
      </c>
      <c r="D17" s="21" t="s">
        <v>81</v>
      </c>
      <c r="E17" s="21"/>
      <c r="F17" s="21"/>
      <c r="G17" s="21"/>
    </row>
    <row r="18" customFormat="false" ht="15" hidden="false" customHeight="true" outlineLevel="0" collapsed="false">
      <c r="B18" s="24" t="s">
        <v>82</v>
      </c>
      <c r="C18" s="23" t="s">
        <v>83</v>
      </c>
      <c r="D18" s="23" t="s">
        <v>84</v>
      </c>
      <c r="E18" s="23"/>
      <c r="F18" s="23"/>
      <c r="G18" s="23"/>
    </row>
    <row r="19" customFormat="false" ht="15" hidden="false" customHeight="true" outlineLevel="0" collapsed="false">
      <c r="B19" s="24" t="s">
        <v>85</v>
      </c>
      <c r="C19" s="23" t="s">
        <v>86</v>
      </c>
      <c r="D19" s="23" t="s">
        <v>87</v>
      </c>
      <c r="E19" s="23"/>
      <c r="F19" s="23"/>
      <c r="G19" s="23"/>
    </row>
    <row r="20" customFormat="false" ht="15" hidden="false" customHeight="true" outlineLevel="0" collapsed="false">
      <c r="B20" s="24" t="s">
        <v>88</v>
      </c>
      <c r="C20" s="23" t="s">
        <v>89</v>
      </c>
      <c r="D20" s="23" t="s">
        <v>90</v>
      </c>
      <c r="E20" s="23"/>
      <c r="F20" s="23"/>
      <c r="G20" s="23"/>
    </row>
    <row r="21" customFormat="false" ht="15" hidden="false" customHeight="true" outlineLevel="0" collapsed="false">
      <c r="B21" s="24" t="s">
        <v>91</v>
      </c>
      <c r="C21" s="23" t="s">
        <v>92</v>
      </c>
      <c r="D21" s="23" t="s">
        <v>93</v>
      </c>
      <c r="E21" s="23"/>
      <c r="F21" s="23"/>
      <c r="G21" s="23"/>
    </row>
    <row r="22" customFormat="false" ht="15" hidden="false" customHeight="true" outlineLevel="0" collapsed="false">
      <c r="B22" s="24" t="s">
        <v>94</v>
      </c>
      <c r="C22" s="23" t="s">
        <v>95</v>
      </c>
      <c r="D22" s="23" t="s">
        <v>96</v>
      </c>
      <c r="E22" s="23"/>
      <c r="F22" s="23"/>
      <c r="G22" s="23"/>
    </row>
    <row r="24" customFormat="false" ht="15.75" hidden="false" customHeight="true" outlineLevel="0" collapsed="false">
      <c r="B24" s="17" t="s">
        <v>97</v>
      </c>
    </row>
    <row r="25" customFormat="false" ht="21.75" hidden="false" customHeight="true" outlineLevel="0" collapsed="false">
      <c r="B25" s="29" t="s">
        <v>98</v>
      </c>
      <c r="C25" s="29"/>
      <c r="D25" s="30" t="s">
        <v>99</v>
      </c>
      <c r="E25" s="30"/>
      <c r="F25" s="29" t="s">
        <v>100</v>
      </c>
      <c r="G25" s="29"/>
    </row>
    <row r="26" customFormat="false" ht="31.5" hidden="false" customHeight="true" outlineLevel="0" collapsed="false">
      <c r="B26" s="31" t="s">
        <v>101</v>
      </c>
      <c r="C26" s="31"/>
      <c r="D26" s="31" t="s">
        <v>102</v>
      </c>
      <c r="E26" s="31"/>
      <c r="F26" s="31" t="s">
        <v>103</v>
      </c>
      <c r="G26" s="31"/>
    </row>
    <row r="27" customFormat="false" ht="31.5" hidden="false" customHeight="true" outlineLevel="0" collapsed="false">
      <c r="B27" s="31" t="s">
        <v>104</v>
      </c>
      <c r="C27" s="31"/>
      <c r="D27" s="31" t="s">
        <v>105</v>
      </c>
      <c r="E27" s="31"/>
      <c r="F27" s="31" t="s">
        <v>106</v>
      </c>
      <c r="G27" s="31"/>
    </row>
    <row r="28" customFormat="false" ht="31.5" hidden="false" customHeight="true" outlineLevel="0" collapsed="false">
      <c r="B28" s="31" t="s">
        <v>107</v>
      </c>
      <c r="C28" s="31"/>
      <c r="D28" s="31" t="s">
        <v>108</v>
      </c>
      <c r="E28" s="31"/>
      <c r="F28" s="31" t="s">
        <v>109</v>
      </c>
      <c r="G28" s="31"/>
    </row>
    <row r="29" customFormat="false" ht="31.5" hidden="false" customHeight="true" outlineLevel="0" collapsed="false">
      <c r="B29" s="31" t="s">
        <v>110</v>
      </c>
      <c r="C29" s="31"/>
      <c r="D29" s="31" t="s">
        <v>111</v>
      </c>
      <c r="E29" s="31"/>
      <c r="F29" s="31" t="s">
        <v>112</v>
      </c>
      <c r="G29" s="31"/>
    </row>
    <row r="31" customFormat="false" ht="15" hidden="false" customHeight="true" outlineLevel="0" collapsed="false">
      <c r="B31" s="32" t="s">
        <v>18</v>
      </c>
      <c r="C31" s="32"/>
      <c r="D31" s="32"/>
      <c r="E31" s="32"/>
      <c r="F31" s="32"/>
      <c r="G31" s="32"/>
    </row>
    <row r="32" customFormat="false" ht="15" hidden="false" customHeight="true" outlineLevel="0" collapsed="false">
      <c r="B32" s="32"/>
      <c r="C32" s="32"/>
      <c r="D32" s="32"/>
      <c r="E32" s="32"/>
      <c r="F32" s="32"/>
      <c r="G32" s="32"/>
    </row>
    <row r="33" customFormat="false" ht="15" hidden="false" customHeight="true" outlineLevel="0" collapsed="false">
      <c r="B33" s="32"/>
      <c r="C33" s="32"/>
      <c r="D33" s="32"/>
      <c r="E33" s="32"/>
      <c r="F33" s="32"/>
      <c r="G33" s="32"/>
    </row>
  </sheetData>
  <mergeCells count="32">
    <mergeCell ref="B1:G1"/>
    <mergeCell ref="B2:G2"/>
    <mergeCell ref="D5:G5"/>
    <mergeCell ref="D6:G6"/>
    <mergeCell ref="D9:G9"/>
    <mergeCell ref="D10:G10"/>
    <mergeCell ref="D11:G11"/>
    <mergeCell ref="D12:G12"/>
    <mergeCell ref="D13:G13"/>
    <mergeCell ref="D14:G14"/>
    <mergeCell ref="D17:G17"/>
    <mergeCell ref="D18:G18"/>
    <mergeCell ref="D19:G19"/>
    <mergeCell ref="D20:G20"/>
    <mergeCell ref="D21:G21"/>
    <mergeCell ref="D22:G22"/>
    <mergeCell ref="B25:C25"/>
    <mergeCell ref="D25:E25"/>
    <mergeCell ref="F25:G25"/>
    <mergeCell ref="B26:C26"/>
    <mergeCell ref="D26:E26"/>
    <mergeCell ref="F26:G26"/>
    <mergeCell ref="B27:C27"/>
    <mergeCell ref="D27:E27"/>
    <mergeCell ref="F27:G27"/>
    <mergeCell ref="B28:C28"/>
    <mergeCell ref="D28:E28"/>
    <mergeCell ref="F28:G28"/>
    <mergeCell ref="B29:C29"/>
    <mergeCell ref="D29:E29"/>
    <mergeCell ref="F29:G29"/>
    <mergeCell ref="B31:G33"/>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20"/>
  <sheetViews>
    <sheetView showFormulas="false" showGridLines="false" showRowColHeaders="true" showZeros="true" rightToLeft="false" tabSelected="true" showOutlineSymbols="true" defaultGridColor="true" view="normal" topLeftCell="A1" colorId="64" zoomScale="160" zoomScaleNormal="160" zoomScalePageLayoutView="100" workbookViewId="0">
      <pane xSplit="0" ySplit="4" topLeftCell="A5" activePane="bottomLeft" state="frozen"/>
      <selection pane="topLeft" activeCell="A1" activeCellId="0" sqref="A1"/>
      <selection pane="bottomLeft" activeCell="M14" activeCellId="0" sqref="M14"/>
    </sheetView>
  </sheetViews>
  <sheetFormatPr defaultColWidth="8.71484375" defaultRowHeight="15" zeroHeight="false" outlineLevelRow="0" outlineLevelCol="0"/>
  <cols>
    <col collapsed="false" customWidth="true" hidden="false" outlineLevel="0" max="1" min="1" style="1" width="13"/>
    <col collapsed="false" customWidth="true" hidden="false" outlineLevel="0" max="2" min="2" style="1" width="11"/>
    <col collapsed="false" customWidth="true" hidden="false" outlineLevel="0" max="3" min="3" style="1" width="15"/>
    <col collapsed="false" customWidth="true" hidden="false" outlineLevel="0" max="4" min="4" style="1" width="23.57"/>
    <col collapsed="false" customWidth="true" hidden="false" outlineLevel="0" max="5" min="5" style="1" width="13"/>
    <col collapsed="false" customWidth="true" hidden="false" outlineLevel="0" max="6" min="6" style="1" width="7"/>
    <col collapsed="false" customWidth="true" hidden="false" outlineLevel="0" max="7" min="7" style="1" width="8"/>
    <col collapsed="false" customWidth="true" hidden="false" outlineLevel="0" max="8" min="8" style="1" width="9"/>
    <col collapsed="false" customWidth="true" hidden="false" outlineLevel="0" max="9" min="9" style="1" width="7"/>
    <col collapsed="false" customWidth="true" hidden="false" outlineLevel="0" max="13" min="10" style="1" width="8"/>
    <col collapsed="false" customWidth="true" hidden="false" outlineLevel="0" max="14" min="14" style="1" width="10"/>
    <col collapsed="false" customWidth="true" hidden="false" outlineLevel="0" max="15" min="15" style="1" width="8"/>
    <col collapsed="false" customWidth="true" hidden="false" outlineLevel="0" max="16" min="16" style="1" width="12"/>
    <col collapsed="false" customWidth="true" hidden="false" outlineLevel="0" max="17" min="17" style="1" width="8"/>
    <col collapsed="false" customWidth="true" hidden="false" outlineLevel="0" max="18" min="18" style="1" width="12"/>
    <col collapsed="false" customWidth="true" hidden="false" outlineLevel="0" max="19" min="19" style="1" width="8"/>
    <col collapsed="false" customWidth="true" hidden="false" outlineLevel="0" max="21" min="20" style="1" width="9"/>
    <col collapsed="false" customWidth="true" hidden="false" outlineLevel="0" max="24" min="22" style="1" width="12"/>
    <col collapsed="false" customWidth="true" hidden="false" outlineLevel="0" max="25" min="25" style="1" width="11"/>
    <col collapsed="false" customWidth="true" hidden="false" outlineLevel="0" max="26" min="26" style="1" width="13"/>
  </cols>
  <sheetData>
    <row r="1" customFormat="false" ht="21.75" hidden="false" customHeight="true" outlineLevel="0" collapsed="false">
      <c r="A1" s="33" t="s">
        <v>113</v>
      </c>
      <c r="B1" s="33"/>
      <c r="C1" s="33"/>
      <c r="D1" s="33"/>
      <c r="E1" s="33"/>
      <c r="F1" s="33"/>
      <c r="G1" s="33"/>
      <c r="H1" s="33"/>
      <c r="I1" s="33"/>
      <c r="J1" s="33"/>
      <c r="K1" s="33"/>
      <c r="L1" s="33"/>
      <c r="M1" s="33"/>
      <c r="N1" s="33"/>
      <c r="O1" s="33"/>
      <c r="P1" s="33"/>
      <c r="Q1" s="33"/>
      <c r="R1" s="33"/>
      <c r="S1" s="33"/>
      <c r="T1" s="33"/>
      <c r="U1" s="33"/>
      <c r="V1" s="33"/>
      <c r="W1" s="33"/>
      <c r="X1" s="33"/>
      <c r="Y1" s="33"/>
      <c r="Z1" s="33"/>
    </row>
    <row r="2" customFormat="false" ht="15" hidden="false" customHeight="true" outlineLevel="0" collapsed="false">
      <c r="A2" s="34" t="s">
        <v>114</v>
      </c>
      <c r="B2" s="34"/>
      <c r="C2" s="34"/>
      <c r="D2" s="34"/>
      <c r="E2" s="34"/>
      <c r="F2" s="34"/>
      <c r="G2" s="34"/>
      <c r="H2" s="34"/>
      <c r="I2" s="34"/>
      <c r="J2" s="34"/>
      <c r="K2" s="34"/>
      <c r="L2" s="34"/>
      <c r="M2" s="34"/>
      <c r="N2" s="34"/>
      <c r="O2" s="34"/>
      <c r="P2" s="34"/>
      <c r="Q2" s="34"/>
      <c r="R2" s="34"/>
      <c r="S2" s="34"/>
      <c r="T2" s="34"/>
      <c r="U2" s="34"/>
      <c r="V2" s="34"/>
      <c r="W2" s="34"/>
      <c r="X2" s="34"/>
      <c r="Y2" s="34"/>
      <c r="Z2" s="34"/>
    </row>
    <row r="3" customFormat="false" ht="15" hidden="false" customHeight="true" outlineLevel="0" collapsed="false">
      <c r="L3" s="35" t="s">
        <v>115</v>
      </c>
      <c r="M3" s="36" t="s">
        <v>116</v>
      </c>
      <c r="X3" s="37" t="s">
        <v>117</v>
      </c>
    </row>
    <row r="4" customFormat="false" ht="63.75" hidden="false" customHeight="true" outlineLevel="0" collapsed="false">
      <c r="A4" s="38" t="s">
        <v>118</v>
      </c>
      <c r="B4" s="38" t="s">
        <v>119</v>
      </c>
      <c r="C4" s="38" t="s">
        <v>120</v>
      </c>
      <c r="D4" s="38" t="s">
        <v>121</v>
      </c>
      <c r="E4" s="38" t="s">
        <v>22</v>
      </c>
      <c r="F4" s="38" t="s">
        <v>122</v>
      </c>
      <c r="G4" s="38" t="s">
        <v>123</v>
      </c>
      <c r="H4" s="38" t="s">
        <v>124</v>
      </c>
      <c r="I4" s="38" t="s">
        <v>125</v>
      </c>
      <c r="J4" s="38" t="s">
        <v>126</v>
      </c>
      <c r="K4" s="38" t="s">
        <v>127</v>
      </c>
      <c r="L4" s="39" t="s">
        <v>128</v>
      </c>
      <c r="M4" s="39" t="s">
        <v>129</v>
      </c>
      <c r="N4" s="38" t="s">
        <v>130</v>
      </c>
      <c r="O4" s="38" t="s">
        <v>131</v>
      </c>
      <c r="P4" s="38" t="s">
        <v>132</v>
      </c>
      <c r="Q4" s="38" t="s">
        <v>133</v>
      </c>
      <c r="R4" s="38" t="s">
        <v>134</v>
      </c>
      <c r="S4" s="38" t="s">
        <v>135</v>
      </c>
      <c r="T4" s="38" t="s">
        <v>136</v>
      </c>
      <c r="U4" s="38" t="s">
        <v>137</v>
      </c>
      <c r="V4" s="38" t="s">
        <v>138</v>
      </c>
      <c r="W4" s="38" t="s">
        <v>139</v>
      </c>
      <c r="X4" s="40" t="s">
        <v>140</v>
      </c>
      <c r="Y4" s="41" t="s">
        <v>141</v>
      </c>
      <c r="Z4" s="42" t="s">
        <v>142</v>
      </c>
    </row>
    <row r="5" customFormat="false" ht="19.5" hidden="false" customHeight="true" outlineLevel="0" collapsed="false">
      <c r="A5" s="43" t="s">
        <v>143</v>
      </c>
      <c r="B5" s="44" t="s">
        <v>144</v>
      </c>
      <c r="C5" s="44" t="s">
        <v>145</v>
      </c>
      <c r="D5" s="43" t="s">
        <v>146</v>
      </c>
      <c r="E5" s="45" t="n">
        <v>4500000</v>
      </c>
      <c r="F5" s="46" t="n">
        <v>0.8</v>
      </c>
      <c r="G5" s="47" t="n">
        <f aca="false">IF($E5="","",MIN(1,MAX(0,(LOG10($E5)-LOG10(Nmin))/(LOG10(Nmax)-LOG10(Nmin)))))</f>
        <v>0.897188637042765</v>
      </c>
      <c r="H5" s="46" t="n">
        <v>0.85</v>
      </c>
      <c r="I5" s="46" t="n">
        <v>0.75</v>
      </c>
      <c r="J5" s="46" t="n">
        <v>0.2</v>
      </c>
      <c r="K5" s="46" t="n">
        <v>0.58</v>
      </c>
      <c r="L5" s="48" t="n">
        <v>4</v>
      </c>
      <c r="M5" s="47" t="n">
        <f aca="false">IF($L5="","",CHOOSE($L5,0.1,0.3,0.5,0.75,1))</f>
        <v>0.75</v>
      </c>
      <c r="N5" s="47" t="n">
        <f aca="false">IF(OR($F5="",$H5="",$I5=""),"",$F5*$H5*$I5)</f>
        <v>0.51</v>
      </c>
      <c r="O5" s="47" t="n">
        <f aca="false">IF(OR($N5="",$J5=""),"",$N5*(1-$J5))</f>
        <v>0.408</v>
      </c>
      <c r="P5" s="49" t="str">
        <f aca="false">IF($O5="","",IF($O5&lt;0.05,"1 · Low",IF($O5&lt;0.15,"2 · Moderate",IF($O5&lt;0.35,"3 · High",IF($O5&lt;0.6,"4 · Severe","5 · Critical")))))</f>
        <v>4 · Severe</v>
      </c>
      <c r="Q5" s="47" t="n">
        <f aca="false">IF(OR($N5="",$K5=""),"",$N5*(1-$K5))</f>
        <v>0.2142</v>
      </c>
      <c r="R5" s="49" t="str">
        <f aca="false">IF($Q5="","",IF($Q5&lt;0.05,"1 · Low",IF($Q5&lt;0.15,"2 · Moderate",IF($Q5&lt;0.35,"3 · High",IF($Q5&lt;0.6,"4 · Severe","5 · Critical")))))</f>
        <v>3 · High</v>
      </c>
      <c r="S5" s="50" t="n">
        <f aca="false">IF(OR($O5="",$Q5=""),"",($O5-$Q5)/$O5)</f>
        <v>0.475</v>
      </c>
      <c r="T5" s="47" t="n">
        <f aca="false">IF(OR($F5="",$M5="",$J5=""),"",$F5*$M5*(1-$J5))</f>
        <v>0.48</v>
      </c>
      <c r="U5" s="47" t="n">
        <f aca="false">IF(OR($F5="",$M5="",$K5=""),"",$F5*$M5*(1-$K5))</f>
        <v>0.252</v>
      </c>
      <c r="V5" s="51" t="n">
        <f aca="false">IF(OR($T5="",$E5=""),"",$T5/$E5*1000000)</f>
        <v>0.106666666666667</v>
      </c>
      <c r="W5" s="52" t="n">
        <f aca="false">IF($O5="","",COUNTIFS($P$5:$P$17,$P5,$T$5:$T$17,"&gt;"&amp;$T5)+1)</f>
        <v>3</v>
      </c>
      <c r="X5" s="53" t="n">
        <f aca="false">IF(OR($U5="",$E5=""),"",$U5/$E5*1000000)</f>
        <v>0.056</v>
      </c>
      <c r="Y5" s="54" t="n">
        <f aca="false">IF(OR($Q5="",$R5=""),"",COUNTIFS($R$5:$R$17,$R5,$U$5:$U$17,"&gt;"&amp;$U5)+1)</f>
        <v>3</v>
      </c>
      <c r="Z5" s="55" t="n">
        <f aca="false">IF(OR($S5="",$K5="",1-$K5=0),"",$S5/(1-$K5))</f>
        <v>1.13095238095238</v>
      </c>
    </row>
    <row r="6" customFormat="false" ht="19.5" hidden="false" customHeight="true" outlineLevel="0" collapsed="false">
      <c r="A6" s="56" t="s">
        <v>147</v>
      </c>
      <c r="B6" s="57" t="s">
        <v>148</v>
      </c>
      <c r="C6" s="57" t="s">
        <v>145</v>
      </c>
      <c r="D6" s="56" t="s">
        <v>149</v>
      </c>
      <c r="E6" s="45" t="n">
        <v>16000000</v>
      </c>
      <c r="F6" s="46" t="n">
        <v>0.9</v>
      </c>
      <c r="G6" s="58" t="n">
        <f aca="false">IF($E6="","",MIN(1,MAX(0,(LOG10($E6)-LOG10(Nmin))/(LOG10(Nmax)-LOG10(Nmin)))))</f>
        <v>0.984619972754495</v>
      </c>
      <c r="H6" s="46" t="n">
        <v>0.65</v>
      </c>
      <c r="I6" s="46" t="n">
        <v>0.8</v>
      </c>
      <c r="J6" s="46" t="n">
        <v>0.2</v>
      </c>
      <c r="K6" s="46" t="n">
        <v>0.55</v>
      </c>
      <c r="L6" s="48" t="n">
        <v>5</v>
      </c>
      <c r="M6" s="58" t="n">
        <f aca="false">IF($L6="","",CHOOSE($L6,0.1,0.3,0.5,0.75,1))</f>
        <v>1</v>
      </c>
      <c r="N6" s="58" t="n">
        <f aca="false">IF(OR($F6="",$H6="",$I6=""),"",$F6*$H6*$I6)</f>
        <v>0.468</v>
      </c>
      <c r="O6" s="58" t="n">
        <f aca="false">IF(OR($N6="",$J6=""),"",$N6*(1-$J6))</f>
        <v>0.3744</v>
      </c>
      <c r="P6" s="59" t="str">
        <f aca="false">IF($O6="","",IF($O6&lt;0.05,"1 · Low",IF($O6&lt;0.15,"2 · Moderate",IF($O6&lt;0.35,"3 · High",IF($O6&lt;0.6,"4 · Severe","5 · Critical")))))</f>
        <v>4 · Severe</v>
      </c>
      <c r="Q6" s="58" t="n">
        <f aca="false">IF(OR($N6="",$K6=""),"",$N6*(1-$K6))</f>
        <v>0.2106</v>
      </c>
      <c r="R6" s="59" t="str">
        <f aca="false">IF($Q6="","",IF($Q6&lt;0.05,"1 · Low",IF($Q6&lt;0.15,"2 · Moderate",IF($Q6&lt;0.35,"3 · High",IF($Q6&lt;0.6,"4 · Severe","5 · Critical")))))</f>
        <v>3 · High</v>
      </c>
      <c r="S6" s="60" t="n">
        <f aca="false">IF(OR($O6="",$Q6=""),"",($O6-$Q6)/$O6)</f>
        <v>0.4375</v>
      </c>
      <c r="T6" s="58" t="n">
        <f aca="false">IF(OR($F6="",$M6="",$J6=""),"",$F6*$M6*(1-$J6))</f>
        <v>0.72</v>
      </c>
      <c r="U6" s="58" t="n">
        <f aca="false">IF(OR($F6="",$M6="",$K6=""),"",$F6*$M6*(1-$K6))</f>
        <v>0.405</v>
      </c>
      <c r="V6" s="61" t="n">
        <f aca="false">IF(OR($T6="",$E6=""),"",$T6/$E6*1000000)</f>
        <v>0.045</v>
      </c>
      <c r="W6" s="62" t="n">
        <f aca="false">IF($O6="","",COUNTIFS($P$5:$P$17,$P6,$T$5:$T$17,"&gt;"&amp;$T6)+1)</f>
        <v>1</v>
      </c>
      <c r="X6" s="53" t="n">
        <f aca="false">IF(OR($U6="",$E6=""),"",$U6/$E6*1000000)</f>
        <v>0.0253125</v>
      </c>
      <c r="Y6" s="54" t="n">
        <f aca="false">IF(OR($Q6="",$R6=""),"",COUNTIFS($R$5:$R$17,$R6,$U$5:$U$17,"&gt;"&amp;$U6)+1)</f>
        <v>1</v>
      </c>
      <c r="Z6" s="55" t="n">
        <f aca="false">IF(OR($S6="",$K6="",1-$K6=0),"",$S6/(1-$K6))</f>
        <v>0.972222222222222</v>
      </c>
    </row>
    <row r="7" customFormat="false" ht="19.5" hidden="false" customHeight="true" outlineLevel="0" collapsed="false">
      <c r="A7" s="43" t="s">
        <v>150</v>
      </c>
      <c r="B7" s="44" t="s">
        <v>151</v>
      </c>
      <c r="C7" s="44" t="s">
        <v>145</v>
      </c>
      <c r="D7" s="43" t="s">
        <v>152</v>
      </c>
      <c r="E7" s="45" t="n">
        <v>1100000</v>
      </c>
      <c r="F7" s="46" t="n">
        <v>0.875</v>
      </c>
      <c r="G7" s="47" t="n">
        <f aca="false">IF($E7="","",MIN(1,MAX(0,(LOG10($E7)-LOG10(Nmin))/(LOG10(Nmax)-LOG10(Nmin)))))</f>
        <v>0.800090253280405</v>
      </c>
      <c r="H7" s="46" t="n">
        <v>0.8</v>
      </c>
      <c r="I7" s="46" t="n">
        <v>0.8</v>
      </c>
      <c r="J7" s="46" t="n">
        <v>0.25</v>
      </c>
      <c r="K7" s="46" t="n">
        <v>0.48</v>
      </c>
      <c r="L7" s="48" t="n">
        <v>4</v>
      </c>
      <c r="M7" s="47" t="n">
        <f aca="false">IF($L7="","",CHOOSE($L7,0.1,0.3,0.5,0.75,1))</f>
        <v>0.75</v>
      </c>
      <c r="N7" s="47" t="n">
        <f aca="false">IF(OR($F7="",$H7="",$I7=""),"",$F7*$H7*$I7)</f>
        <v>0.56</v>
      </c>
      <c r="O7" s="47" t="n">
        <f aca="false">IF(OR($N7="",$J7=""),"",$N7*(1-$J7))</f>
        <v>0.42</v>
      </c>
      <c r="P7" s="49" t="str">
        <f aca="false">IF($O7="","",IF($O7&lt;0.05,"1 · Low",IF($O7&lt;0.15,"2 · Moderate",IF($O7&lt;0.35,"3 · High",IF($O7&lt;0.6,"4 · Severe","5 · Critical")))))</f>
        <v>4 · Severe</v>
      </c>
      <c r="Q7" s="47" t="n">
        <f aca="false">IF(OR($N7="",$K7=""),"",$N7*(1-$K7))</f>
        <v>0.2912</v>
      </c>
      <c r="R7" s="49" t="str">
        <f aca="false">IF($Q7="","",IF($Q7&lt;0.05,"1 · Low",IF($Q7&lt;0.15,"2 · Moderate",IF($Q7&lt;0.35,"3 · High",IF($Q7&lt;0.6,"4 · Severe","5 · Critical")))))</f>
        <v>3 · High</v>
      </c>
      <c r="S7" s="50" t="n">
        <f aca="false">IF(OR($O7="",$Q7=""),"",($O7-$Q7)/$O7)</f>
        <v>0.306666666666667</v>
      </c>
      <c r="T7" s="47" t="n">
        <f aca="false">IF(OR($F7="",$M7="",$J7=""),"",$F7*$M7*(1-$J7))</f>
        <v>0.4921875</v>
      </c>
      <c r="U7" s="47" t="n">
        <f aca="false">IF(OR($F7="",$M7="",$K7=""),"",$F7*$M7*(1-$K7))</f>
        <v>0.34125</v>
      </c>
      <c r="V7" s="51" t="n">
        <f aca="false">IF(OR($T7="",$E7=""),"",$T7/$E7*1000000)</f>
        <v>0.447443181818182</v>
      </c>
      <c r="W7" s="52" t="n">
        <f aca="false">IF($O7="","",COUNTIFS($P$5:$P$17,$P7,$T$5:$T$17,"&gt;"&amp;$T7)+1)</f>
        <v>2</v>
      </c>
      <c r="X7" s="53" t="n">
        <f aca="false">IF(OR($U7="",$E7=""),"",$U7/$E7*1000000)</f>
        <v>0.310227272727273</v>
      </c>
      <c r="Y7" s="54" t="n">
        <f aca="false">IF(OR($Q7="",$R7=""),"",COUNTIFS($R$5:$R$17,$R7,$U$5:$U$17,"&gt;"&amp;$U7)+1)</f>
        <v>2</v>
      </c>
      <c r="Z7" s="55" t="n">
        <f aca="false">IF(OR($S7="",$K7="",1-$K7=0),"",$S7/(1-$K7))</f>
        <v>0.58974358974359</v>
      </c>
    </row>
    <row r="8" customFormat="false" ht="19.5" hidden="false" customHeight="true" outlineLevel="0" collapsed="false">
      <c r="A8" s="63" t="s">
        <v>153</v>
      </c>
      <c r="B8" s="57" t="s">
        <v>154</v>
      </c>
      <c r="C8" s="57" t="s">
        <v>155</v>
      </c>
      <c r="D8" s="56" t="s">
        <v>156</v>
      </c>
      <c r="E8" s="45" t="n">
        <v>4700000</v>
      </c>
      <c r="F8" s="46" t="n">
        <v>0.9</v>
      </c>
      <c r="G8" s="58" t="n">
        <f aca="false">IF($E8="","",MIN(1,MAX(0,(LOG10($E8)-LOG10(Nmin))/(LOG10(Nmax)-LOG10(Nmin)))))</f>
        <v>0.900185820705335</v>
      </c>
      <c r="H8" s="46" t="n">
        <v>0.88</v>
      </c>
      <c r="I8" s="46" t="n">
        <v>0.55</v>
      </c>
      <c r="J8" s="46" t="n">
        <v>0.55</v>
      </c>
      <c r="K8" s="46"/>
      <c r="L8" s="48" t="n">
        <v>4</v>
      </c>
      <c r="M8" s="58" t="n">
        <f aca="false">IF($L8="","",CHOOSE($L8,0.1,0.3,0.5,0.75,1))</f>
        <v>0.75</v>
      </c>
      <c r="N8" s="58" t="n">
        <f aca="false">IF(OR($F8="",$H8="",$I8=""),"",$F8*$H8*$I8)</f>
        <v>0.4356</v>
      </c>
      <c r="O8" s="58" t="n">
        <f aca="false">IF(OR($N8="",$J8=""),"",$N8*(1-$J8))</f>
        <v>0.19602</v>
      </c>
      <c r="P8" s="59" t="str">
        <f aca="false">IF($O8="","",IF($O8&lt;0.05,"1 · Low",IF($O8&lt;0.15,"2 · Moderate",IF($O8&lt;0.35,"3 · High",IF($O8&lt;0.6,"4 · Severe","5 · Critical")))))</f>
        <v>3 · High</v>
      </c>
      <c r="Q8" s="58" t="str">
        <f aca="false">IF(OR($N8="",$K8=""),"",$N8*(1-$K8))</f>
        <v/>
      </c>
      <c r="R8" s="59" t="str">
        <f aca="false">IF($Q8="","",IF($Q8&lt;0.05,"1 · Low",IF($Q8&lt;0.15,"2 · Moderate",IF($Q8&lt;0.35,"3 · High",IF($Q8&lt;0.6,"4 · Severe","5 · Critical")))))</f>
        <v/>
      </c>
      <c r="S8" s="60" t="str">
        <f aca="false">IF(OR($O8="",$Q8=""),"",($O8-$Q8)/$O8)</f>
        <v/>
      </c>
      <c r="T8" s="58" t="n">
        <f aca="false">IF(OR($F8="",$M8="",$J8=""),"",$F8*$M8*(1-$J8))</f>
        <v>0.30375</v>
      </c>
      <c r="U8" s="58" t="str">
        <f aca="false">IF(OR($F8="",$M8="",$K8=""),"",$F8*$M8*(1-$K8))</f>
        <v/>
      </c>
      <c r="V8" s="61" t="n">
        <f aca="false">IF(OR($T8="",$E8=""),"",$T8/$E8*1000000)</f>
        <v>0.0646276595744681</v>
      </c>
      <c r="W8" s="62" t="n">
        <f aca="false">IF($O8="","",COUNTIFS($P$5:$P$17,$P8,$T$5:$T$17,"&gt;"&amp;$T8)+1)</f>
        <v>1</v>
      </c>
      <c r="X8" s="53" t="str">
        <f aca="false">IF(OR($U8="",$E8=""),"",$U8/$E8*1000000)</f>
        <v/>
      </c>
      <c r="Y8" s="54" t="str">
        <f aca="false">IF(OR($Q8="",$R8=""),"",COUNTIFS($R$5:$R$17,$R8,$U$5:$U$17,"&gt;"&amp;$U8)+1)</f>
        <v/>
      </c>
      <c r="Z8" s="55" t="str">
        <f aca="false">IF(OR($S8="",$K8="",1-$K8=0),"",$S8/(1-$K8))</f>
        <v/>
      </c>
    </row>
    <row r="9" customFormat="false" ht="19.5" hidden="false" customHeight="true" outlineLevel="0" collapsed="false">
      <c r="A9" s="43" t="s">
        <v>157</v>
      </c>
      <c r="B9" s="44" t="s">
        <v>158</v>
      </c>
      <c r="C9" s="44" t="s">
        <v>155</v>
      </c>
      <c r="D9" s="43" t="s">
        <v>159</v>
      </c>
      <c r="E9" s="45" t="n">
        <v>7400000</v>
      </c>
      <c r="F9" s="46" t="n">
        <v>0.85</v>
      </c>
      <c r="G9" s="47" t="n">
        <f aca="false">IF($E9="","",MIN(1,MAX(0,(LOG10($E9)-LOG10(Nmin))/(LOG10(Nmax)-LOG10(Nmin)))))</f>
        <v>0.931471794892241</v>
      </c>
      <c r="H9" s="46" t="n">
        <v>0.93</v>
      </c>
      <c r="I9" s="46" t="n">
        <v>0.78</v>
      </c>
      <c r="J9" s="46" t="n">
        <v>0.55</v>
      </c>
      <c r="K9" s="46"/>
      <c r="L9" s="48" t="n">
        <v>4</v>
      </c>
      <c r="M9" s="47" t="n">
        <f aca="false">IF($L9="","",CHOOSE($L9,0.1,0.3,0.5,0.75,1))</f>
        <v>0.75</v>
      </c>
      <c r="N9" s="47" t="n">
        <f aca="false">IF(OR($F9="",$H9="",$I9=""),"",$F9*$H9*$I9)</f>
        <v>0.61659</v>
      </c>
      <c r="O9" s="47" t="n">
        <f aca="false">IF(OR($N9="",$J9=""),"",$N9*(1-$J9))</f>
        <v>0.2774655</v>
      </c>
      <c r="P9" s="49" t="str">
        <f aca="false">IF($O9="","",IF($O9&lt;0.05,"1 · Low",IF($O9&lt;0.15,"2 · Moderate",IF($O9&lt;0.35,"3 · High",IF($O9&lt;0.6,"4 · Severe","5 · Critical")))))</f>
        <v>3 · High</v>
      </c>
      <c r="Q9" s="47" t="str">
        <f aca="false">IF(OR($N9="",$K9=""),"",$N9*(1-$K9))</f>
        <v/>
      </c>
      <c r="R9" s="49" t="str">
        <f aca="false">IF($Q9="","",IF($Q9&lt;0.05,"1 · Low",IF($Q9&lt;0.15,"2 · Moderate",IF($Q9&lt;0.35,"3 · High",IF($Q9&lt;0.6,"4 · Severe","5 · Critical")))))</f>
        <v/>
      </c>
      <c r="S9" s="50" t="str">
        <f aca="false">IF(OR($O9="",$Q9=""),"",($O9-$Q9)/$O9)</f>
        <v/>
      </c>
      <c r="T9" s="47" t="n">
        <f aca="false">IF(OR($F9="",$M9="",$J9=""),"",$F9*$M9*(1-$J9))</f>
        <v>0.286875</v>
      </c>
      <c r="U9" s="47" t="str">
        <f aca="false">IF(OR($F9="",$M9="",$K9=""),"",$F9*$M9*(1-$K9))</f>
        <v/>
      </c>
      <c r="V9" s="51" t="n">
        <f aca="false">IF(OR($T9="",$E9=""),"",$T9/$E9*1000000)</f>
        <v>0.0387668918918919</v>
      </c>
      <c r="W9" s="52" t="n">
        <f aca="false">IF($O9="","",COUNTIFS($P$5:$P$17,$P9,$T$5:$T$17,"&gt;"&amp;$T9)+1)</f>
        <v>2</v>
      </c>
      <c r="X9" s="53" t="str">
        <f aca="false">IF(OR($U9="",$E9=""),"",$U9/$E9*1000000)</f>
        <v/>
      </c>
      <c r="Y9" s="54" t="str">
        <f aca="false">IF(OR($Q9="",$R9=""),"",COUNTIFS($R$5:$R$17,$R9,$U$5:$U$17,"&gt;"&amp;$U9)+1)</f>
        <v/>
      </c>
      <c r="Z9" s="55" t="str">
        <f aca="false">IF(OR($S9="",$K9="",1-$K9=0),"",$S9/(1-$K9))</f>
        <v/>
      </c>
    </row>
    <row r="10" customFormat="false" ht="19.5" hidden="false" customHeight="true" outlineLevel="0" collapsed="false">
      <c r="A10" s="56" t="s">
        <v>160</v>
      </c>
      <c r="B10" s="57" t="s">
        <v>161</v>
      </c>
      <c r="C10" s="57" t="s">
        <v>155</v>
      </c>
      <c r="D10" s="56" t="s">
        <v>162</v>
      </c>
      <c r="E10" s="45" t="n">
        <v>3360000</v>
      </c>
      <c r="F10" s="46" t="n">
        <v>0.8</v>
      </c>
      <c r="G10" s="58" t="n">
        <f aca="false">IF($E10="","",MIN(1,MAX(0,(LOG10($E10)-LOG10(Nmin))/(LOG10(Nmax)-LOG10(Nmin)))))</f>
        <v>0.877053320043352</v>
      </c>
      <c r="H10" s="46" t="n">
        <v>0.85</v>
      </c>
      <c r="I10" s="46" t="n">
        <v>0.72</v>
      </c>
      <c r="J10" s="46" t="n">
        <v>0.45</v>
      </c>
      <c r="K10" s="46"/>
      <c r="L10" s="48" t="n">
        <v>3</v>
      </c>
      <c r="M10" s="58" t="n">
        <f aca="false">IF($L10="","",CHOOSE($L10,0.1,0.3,0.5,0.75,1))</f>
        <v>0.5</v>
      </c>
      <c r="N10" s="58" t="n">
        <f aca="false">IF(OR($F10="",$H10="",$I10=""),"",$F10*$H10*$I10)</f>
        <v>0.4896</v>
      </c>
      <c r="O10" s="58" t="n">
        <f aca="false">IF(OR($N10="",$J10=""),"",$N10*(1-$J10))</f>
        <v>0.26928</v>
      </c>
      <c r="P10" s="59" t="str">
        <f aca="false">IF($O10="","",IF($O10&lt;0.05,"1 · Low",IF($O10&lt;0.15,"2 · Moderate",IF($O10&lt;0.35,"3 · High",IF($O10&lt;0.6,"4 · Severe","5 · Critical")))))</f>
        <v>3 · High</v>
      </c>
      <c r="Q10" s="58" t="str">
        <f aca="false">IF(OR($N10="",$K10=""),"",$N10*(1-$K10))</f>
        <v/>
      </c>
      <c r="R10" s="59" t="str">
        <f aca="false">IF($Q10="","",IF($Q10&lt;0.05,"1 · Low",IF($Q10&lt;0.15,"2 · Moderate",IF($Q10&lt;0.35,"3 · High",IF($Q10&lt;0.6,"4 · Severe","5 · Critical")))))</f>
        <v/>
      </c>
      <c r="S10" s="60" t="str">
        <f aca="false">IF(OR($O10="",$Q10=""),"",($O10-$Q10)/$O10)</f>
        <v/>
      </c>
      <c r="T10" s="58" t="n">
        <f aca="false">IF(OR($F10="",$M10="",$J10=""),"",$F10*$M10*(1-$J10))</f>
        <v>0.22</v>
      </c>
      <c r="U10" s="58" t="str">
        <f aca="false">IF(OR($F10="",$M10="",$K10=""),"",$F10*$M10*(1-$K10))</f>
        <v/>
      </c>
      <c r="V10" s="61" t="n">
        <f aca="false">IF(OR($T10="",$E10=""),"",$T10/$E10*1000000)</f>
        <v>0.0654761904761905</v>
      </c>
      <c r="W10" s="62" t="n">
        <f aca="false">IF($O10="","",COUNTIFS($P$5:$P$17,$P10,$T$5:$T$17,"&gt;"&amp;$T10)+1)</f>
        <v>4</v>
      </c>
      <c r="X10" s="53" t="str">
        <f aca="false">IF(OR($U10="",$E10=""),"",$U10/$E10*1000000)</f>
        <v/>
      </c>
      <c r="Y10" s="54" t="str">
        <f aca="false">IF(OR($Q10="",$R10=""),"",COUNTIFS($R$5:$R$17,$R10,$U$5:$U$17,"&gt;"&amp;$U10)+1)</f>
        <v/>
      </c>
      <c r="Z10" s="55" t="str">
        <f aca="false">IF(OR($S10="",$K10="",1-$K10=0),"",$S10/(1-$K10))</f>
        <v/>
      </c>
    </row>
    <row r="11" customFormat="false" ht="19.5" hidden="false" customHeight="true" outlineLevel="0" collapsed="false">
      <c r="A11" s="43" t="s">
        <v>163</v>
      </c>
      <c r="B11" s="44" t="s">
        <v>164</v>
      </c>
      <c r="C11" s="44" t="s">
        <v>165</v>
      </c>
      <c r="D11" s="43" t="s">
        <v>166</v>
      </c>
      <c r="E11" s="45" t="n">
        <v>21300</v>
      </c>
      <c r="F11" s="46" t="n">
        <v>0.4</v>
      </c>
      <c r="G11" s="47" t="n">
        <f aca="false">IF($E11="","",MIN(1,MAX(0,(LOG10($E11)-LOG10(Nmin))/(LOG10(Nmax)-LOG10(Nmin)))))</f>
        <v>0.528227862068447</v>
      </c>
      <c r="H11" s="46" t="n">
        <v>0.9</v>
      </c>
      <c r="I11" s="46" t="n">
        <v>0.4</v>
      </c>
      <c r="J11" s="46" t="n">
        <v>0.2</v>
      </c>
      <c r="K11" s="46" t="n">
        <v>0.35</v>
      </c>
      <c r="L11" s="48" t="n">
        <v>4</v>
      </c>
      <c r="M11" s="47" t="n">
        <f aca="false">IF($L11="","",CHOOSE($L11,0.1,0.3,0.5,0.75,1))</f>
        <v>0.75</v>
      </c>
      <c r="N11" s="47" t="n">
        <f aca="false">IF(OR($F11="",$H11="",$I11=""),"",$F11*$H11*$I11)</f>
        <v>0.144</v>
      </c>
      <c r="O11" s="47" t="n">
        <f aca="false">IF(OR($N11="",$J11=""),"",$N11*(1-$J11))</f>
        <v>0.1152</v>
      </c>
      <c r="P11" s="49" t="str">
        <f aca="false">IF($O11="","",IF($O11&lt;0.05,"1 · Low",IF($O11&lt;0.15,"2 · Moderate",IF($O11&lt;0.35,"3 · High",IF($O11&lt;0.6,"4 · Severe","5 · Critical")))))</f>
        <v>2 · Moderate</v>
      </c>
      <c r="Q11" s="47" t="n">
        <f aca="false">IF(OR($N11="",$K11=""),"",$N11*(1-$K11))</f>
        <v>0.0936</v>
      </c>
      <c r="R11" s="49" t="str">
        <f aca="false">IF($Q11="","",IF($Q11&lt;0.05,"1 · Low",IF($Q11&lt;0.15,"2 · Moderate",IF($Q11&lt;0.35,"3 · High",IF($Q11&lt;0.6,"4 · Severe","5 · Critical")))))</f>
        <v>2 · Moderate</v>
      </c>
      <c r="S11" s="50" t="n">
        <f aca="false">IF(OR($O11="",$Q11=""),"",($O11-$Q11)/$O11)</f>
        <v>0.1875</v>
      </c>
      <c r="T11" s="47" t="n">
        <f aca="false">IF(OR($F11="",$M11="",$J11=""),"",$F11*$M11*(1-$J11))</f>
        <v>0.24</v>
      </c>
      <c r="U11" s="47" t="n">
        <f aca="false">IF(OR($F11="",$M11="",$K11=""),"",$F11*$M11*(1-$K11))</f>
        <v>0.195</v>
      </c>
      <c r="V11" s="51" t="n">
        <f aca="false">IF(OR($T11="",$E11=""),"",$T11/$E11*1000000)</f>
        <v>11.2676056338028</v>
      </c>
      <c r="W11" s="52" t="n">
        <f aca="false">IF($O11="","",COUNTIFS($P$5:$P$17,$P11,$T$5:$T$17,"&gt;"&amp;$T11)+1)</f>
        <v>1</v>
      </c>
      <c r="X11" s="53" t="n">
        <f aca="false">IF(OR($U11="",$E11=""),"",$U11/$E11*1000000)</f>
        <v>9.15492957746479</v>
      </c>
      <c r="Y11" s="54" t="n">
        <f aca="false">IF(OR($Q11="",$R11=""),"",COUNTIFS($R$5:$R$17,$R11,$U$5:$U$17,"&gt;"&amp;$U11)+1)</f>
        <v>1</v>
      </c>
      <c r="Z11" s="55" t="n">
        <f aca="false">IF(OR($S11="",$K11="",1-$K11=0),"",$S11/(1-$K11))</f>
        <v>0.288461538461539</v>
      </c>
    </row>
    <row r="12" customFormat="false" ht="19.5" hidden="false" customHeight="true" outlineLevel="0" collapsed="false">
      <c r="A12" s="56" t="s">
        <v>167</v>
      </c>
      <c r="B12" s="57" t="s">
        <v>164</v>
      </c>
      <c r="C12" s="57" t="s">
        <v>165</v>
      </c>
      <c r="D12" s="56" t="s">
        <v>168</v>
      </c>
      <c r="E12" s="45" t="n">
        <v>23000</v>
      </c>
      <c r="F12" s="46" t="n">
        <v>0.4</v>
      </c>
      <c r="G12" s="58" t="n">
        <f aca="false">IF($E12="","",MIN(1,MAX(0,(LOG10($E12)-LOG10(Nmin))/(LOG10(Nmax)-LOG10(Nmin)))))</f>
        <v>0.533520367040142</v>
      </c>
      <c r="H12" s="46" t="n">
        <v>0.8</v>
      </c>
      <c r="I12" s="46" t="n">
        <v>0.6</v>
      </c>
      <c r="J12" s="46" t="n">
        <v>0.2</v>
      </c>
      <c r="K12" s="46" t="n">
        <v>0.35</v>
      </c>
      <c r="L12" s="48" t="n">
        <v>4</v>
      </c>
      <c r="M12" s="58" t="n">
        <f aca="false">IF($L12="","",CHOOSE($L12,0.1,0.3,0.5,0.75,1))</f>
        <v>0.75</v>
      </c>
      <c r="N12" s="58" t="n">
        <f aca="false">IF(OR($F12="",$H12="",$I12=""),"",$F12*$H12*$I12)</f>
        <v>0.192</v>
      </c>
      <c r="O12" s="58" t="n">
        <f aca="false">IF(OR($N12="",$J12=""),"",$N12*(1-$J12))</f>
        <v>0.1536</v>
      </c>
      <c r="P12" s="59" t="str">
        <f aca="false">IF($O12="","",IF($O12&lt;0.05,"1 · Low",IF($O12&lt;0.15,"2 · Moderate",IF($O12&lt;0.35,"3 · High",IF($O12&lt;0.6,"4 · Severe","5 · Critical")))))</f>
        <v>3 · High</v>
      </c>
      <c r="Q12" s="58" t="n">
        <f aca="false">IF(OR($N12="",$K12=""),"",$N12*(1-$K12))</f>
        <v>0.1248</v>
      </c>
      <c r="R12" s="59" t="str">
        <f aca="false">IF($Q12="","",IF($Q12&lt;0.05,"1 · Low",IF($Q12&lt;0.15,"2 · Moderate",IF($Q12&lt;0.35,"3 · High",IF($Q12&lt;0.6,"4 · Severe","5 · Critical")))))</f>
        <v>2 · Moderate</v>
      </c>
      <c r="S12" s="60" t="n">
        <f aca="false">IF(OR($O12="",$Q12=""),"",($O12-$Q12)/$O12)</f>
        <v>0.1875</v>
      </c>
      <c r="T12" s="58" t="n">
        <f aca="false">IF(OR($F12="",$M12="",$J12=""),"",$F12*$M12*(1-$J12))</f>
        <v>0.24</v>
      </c>
      <c r="U12" s="58" t="n">
        <f aca="false">IF(OR($F12="",$M12="",$K12=""),"",$F12*$M12*(1-$K12))</f>
        <v>0.195</v>
      </c>
      <c r="V12" s="61" t="n">
        <f aca="false">IF(OR($T12="",$E12=""),"",$T12/$E12*1000000)</f>
        <v>10.4347826086957</v>
      </c>
      <c r="W12" s="62" t="n">
        <f aca="false">IF($O12="","",COUNTIFS($P$5:$P$17,$P12,$T$5:$T$17,"&gt;"&amp;$T12)+1)</f>
        <v>3</v>
      </c>
      <c r="X12" s="53" t="n">
        <f aca="false">IF(OR($U12="",$E12=""),"",$U12/$E12*1000000)</f>
        <v>8.47826086956522</v>
      </c>
      <c r="Y12" s="54" t="n">
        <f aca="false">IF(OR($Q12="",$R12=""),"",COUNTIFS($R$5:$R$17,$R12,$U$5:$U$17,"&gt;"&amp;$U12)+1)</f>
        <v>1</v>
      </c>
      <c r="Z12" s="55" t="n">
        <f aca="false">IF(OR($S12="",$K12="",1-$K12=0),"",$S12/(1-$K12))</f>
        <v>0.288461538461539</v>
      </c>
    </row>
    <row r="13" customFormat="false" ht="19.5" hidden="false" customHeight="true" outlineLevel="0" collapsed="false">
      <c r="A13" s="43"/>
      <c r="B13" s="44"/>
      <c r="C13" s="44"/>
      <c r="D13" s="43"/>
      <c r="E13" s="45"/>
      <c r="F13" s="46"/>
      <c r="G13" s="47" t="str">
        <f aca="false">IF($E13="","",MIN(1,MAX(0,(LOG10($E13)-LOG10(Nmin))/(LOG10(Nmax)-LOG10(Nmin)))))</f>
        <v/>
      </c>
      <c r="H13" s="46"/>
      <c r="I13" s="46"/>
      <c r="J13" s="46"/>
      <c r="K13" s="46"/>
      <c r="L13" s="48"/>
      <c r="M13" s="47" t="str">
        <f aca="false">IF($L13="","",CHOOSE($L13,0.1,0.3,0.5,0.75,1))</f>
        <v/>
      </c>
      <c r="N13" s="47" t="str">
        <f aca="false">IF(OR($F13="",$H13="",$I13=""),"",$F13*$H13*$I13)</f>
        <v/>
      </c>
      <c r="O13" s="47" t="str">
        <f aca="false">IF(OR($N13="",$J13=""),"",$N13*(1-$J13))</f>
        <v/>
      </c>
      <c r="P13" s="49" t="str">
        <f aca="false">IF($O13="","",IF($O13&lt;0.05,"1 · Low",IF($O13&lt;0.15,"2 · Moderate",IF($O13&lt;0.35,"3 · High",IF($O13&lt;0.6,"4 · Severe","5 · Critical")))))</f>
        <v/>
      </c>
      <c r="Q13" s="47" t="str">
        <f aca="false">IF(OR($N13="",$K13=""),"",$N13*(1-$K13))</f>
        <v/>
      </c>
      <c r="R13" s="49" t="str">
        <f aca="false">IF($Q13="","",IF($Q13&lt;0.05,"1 · Low",IF($Q13&lt;0.15,"2 · Moderate",IF($Q13&lt;0.35,"3 · High",IF($Q13&lt;0.6,"4 · Severe","5 · Critical")))))</f>
        <v/>
      </c>
      <c r="S13" s="50" t="str">
        <f aca="false">IF(OR($O13="",$Q13=""),"",($O13-$Q13)/$O13)</f>
        <v/>
      </c>
      <c r="T13" s="47" t="str">
        <f aca="false">IF(OR($F13="",$M13="",$J13=""),"",$F13*$M13*(1-$J13))</f>
        <v/>
      </c>
      <c r="U13" s="47" t="str">
        <f aca="false">IF(OR($F13="",$M13="",$K13=""),"",$F13*$M13*(1-$K13))</f>
        <v/>
      </c>
      <c r="V13" s="51" t="str">
        <f aca="false">IF(OR($T13="",$E13=""),"",$T13/$E13*1000000)</f>
        <v/>
      </c>
      <c r="W13" s="52" t="str">
        <f aca="false">IF($O13="","",COUNTIFS($P$5:$P$17,$P13,$T$5:$T$17,"&gt;"&amp;$T13)+1)</f>
        <v/>
      </c>
      <c r="X13" s="53" t="str">
        <f aca="false">IF(OR($U13="",$E13=""),"",$U13/$E13*1000000)</f>
        <v/>
      </c>
      <c r="Y13" s="54" t="str">
        <f aca="false">IF(OR($Q13="",$R13=""),"",COUNTIFS($R$5:$R$17,$R13,$U$5:$U$17,"&gt;"&amp;$U13)+1)</f>
        <v/>
      </c>
      <c r="Z13" s="55" t="str">
        <f aca="false">IF(OR($S13="",$K13="",1-$K13=0),"",$S13/(1-$K13))</f>
        <v/>
      </c>
    </row>
    <row r="14" customFormat="false" ht="19.5" hidden="false" customHeight="true" outlineLevel="0" collapsed="false">
      <c r="A14" s="56"/>
      <c r="B14" s="57"/>
      <c r="C14" s="57"/>
      <c r="D14" s="56"/>
      <c r="E14" s="45"/>
      <c r="F14" s="46"/>
      <c r="G14" s="58" t="str">
        <f aca="false">IF($E14="","",MIN(1,MAX(0,(LOG10($E14)-LOG10(Nmin))/(LOG10(Nmax)-LOG10(Nmin)))))</f>
        <v/>
      </c>
      <c r="H14" s="46"/>
      <c r="I14" s="46"/>
      <c r="J14" s="46"/>
      <c r="K14" s="46"/>
      <c r="L14" s="48"/>
      <c r="M14" s="58" t="str">
        <f aca="false">IF($L14="","",CHOOSE($L14,0.1,0.3,0.5,0.75,1))</f>
        <v/>
      </c>
      <c r="N14" s="58" t="str">
        <f aca="false">IF(OR($F14="",$H14="",$I14=""),"",$F14*$H14*$I14)</f>
        <v/>
      </c>
      <c r="O14" s="58" t="str">
        <f aca="false">IF(OR($N14="",$J14=""),"",$N14*(1-$J14))</f>
        <v/>
      </c>
      <c r="P14" s="59" t="str">
        <f aca="false">IF($O14="","",IF($O14&lt;0.05,"1 · Low",IF($O14&lt;0.15,"2 · Moderate",IF($O14&lt;0.35,"3 · High",IF($O14&lt;0.6,"4 · Severe","5 · Critical")))))</f>
        <v/>
      </c>
      <c r="Q14" s="58" t="str">
        <f aca="false">IF(OR($N14="",$K14=""),"",$N14*(1-$K14))</f>
        <v/>
      </c>
      <c r="R14" s="59" t="str">
        <f aca="false">IF($Q14="","",IF($Q14&lt;0.05,"1 · Low",IF($Q14&lt;0.15,"2 · Moderate",IF($Q14&lt;0.35,"3 · High",IF($Q14&lt;0.6,"4 · Severe","5 · Critical")))))</f>
        <v/>
      </c>
      <c r="S14" s="60" t="str">
        <f aca="false">IF(OR($O14="",$Q14=""),"",($O14-$Q14)/$O14)</f>
        <v/>
      </c>
      <c r="T14" s="58" t="str">
        <f aca="false">IF(OR($F14="",$M14="",$J14=""),"",$F14*$M14*(1-$J14))</f>
        <v/>
      </c>
      <c r="U14" s="58" t="str">
        <f aca="false">IF(OR($F14="",$M14="",$K14=""),"",$F14*$M14*(1-$K14))</f>
        <v/>
      </c>
      <c r="V14" s="61" t="str">
        <f aca="false">IF(OR($T14="",$E14=""),"",$T14/$E14*1000000)</f>
        <v/>
      </c>
      <c r="W14" s="62" t="str">
        <f aca="false">IF($O14="","",COUNTIFS($P$5:$P$17,$P14,$T$5:$T$17,"&gt;"&amp;$T14)+1)</f>
        <v/>
      </c>
      <c r="X14" s="53" t="str">
        <f aca="false">IF(OR($U14="",$E14=""),"",$U14/$E14*1000000)</f>
        <v/>
      </c>
      <c r="Y14" s="54" t="str">
        <f aca="false">IF(OR($Q14="",$R14=""),"",COUNTIFS($R$5:$R$17,$R14,$U$5:$U$17,"&gt;"&amp;$U14)+1)</f>
        <v/>
      </c>
      <c r="Z14" s="55" t="str">
        <f aca="false">IF(OR($S14="",$K14="",1-$K14=0),"",$S14/(1-$K14))</f>
        <v/>
      </c>
    </row>
    <row r="15" customFormat="false" ht="19.5" hidden="false" customHeight="true" outlineLevel="0" collapsed="false">
      <c r="A15" s="43"/>
      <c r="B15" s="44"/>
      <c r="C15" s="44"/>
      <c r="D15" s="43"/>
      <c r="E15" s="45"/>
      <c r="F15" s="46"/>
      <c r="G15" s="47" t="str">
        <f aca="false">IF($E15="","",MIN(1,MAX(0,(LOG10($E15)-LOG10(Nmin))/(LOG10(Nmax)-LOG10(Nmin)))))</f>
        <v/>
      </c>
      <c r="H15" s="46"/>
      <c r="I15" s="46"/>
      <c r="J15" s="46"/>
      <c r="K15" s="46"/>
      <c r="L15" s="48"/>
      <c r="M15" s="47" t="str">
        <f aca="false">IF($L15="","",CHOOSE($L15,0.1,0.3,0.5,0.75,1))</f>
        <v/>
      </c>
      <c r="N15" s="47" t="str">
        <f aca="false">IF(OR($F15="",$H15="",$I15=""),"",$F15*$H15*$I15)</f>
        <v/>
      </c>
      <c r="O15" s="47" t="str">
        <f aca="false">IF(OR($N15="",$J15=""),"",$N15*(1-$J15))</f>
        <v/>
      </c>
      <c r="P15" s="49" t="str">
        <f aca="false">IF($O15="","",IF($O15&lt;0.05,"1 · Low",IF($O15&lt;0.15,"2 · Moderate",IF($O15&lt;0.35,"3 · High",IF($O15&lt;0.6,"4 · Severe","5 · Critical")))))</f>
        <v/>
      </c>
      <c r="Q15" s="47" t="str">
        <f aca="false">IF(OR($N15="",$K15=""),"",$N15*(1-$K15))</f>
        <v/>
      </c>
      <c r="R15" s="49" t="str">
        <f aca="false">IF($Q15="","",IF($Q15&lt;0.05,"1 · Low",IF($Q15&lt;0.15,"2 · Moderate",IF($Q15&lt;0.35,"3 · High",IF($Q15&lt;0.6,"4 · Severe","5 · Critical")))))</f>
        <v/>
      </c>
      <c r="S15" s="50" t="str">
        <f aca="false">IF(OR($O15="",$Q15=""),"",($O15-$Q15)/$O15)</f>
        <v/>
      </c>
      <c r="T15" s="47" t="str">
        <f aca="false">IF(OR($F15="",$M15="",$J15=""),"",$F15*$M15*(1-$J15))</f>
        <v/>
      </c>
      <c r="U15" s="47" t="str">
        <f aca="false">IF(OR($F15="",$M15="",$K15=""),"",$F15*$M15*(1-$K15))</f>
        <v/>
      </c>
      <c r="V15" s="51" t="str">
        <f aca="false">IF(OR($T15="",$E15=""),"",$T15/$E15*1000000)</f>
        <v/>
      </c>
      <c r="W15" s="52" t="str">
        <f aca="false">IF($O15="","",COUNTIFS($P$5:$P$17,$P15,$T$5:$T$17,"&gt;"&amp;$T15)+1)</f>
        <v/>
      </c>
      <c r="X15" s="53" t="str">
        <f aca="false">IF(OR($U15="",$E15=""),"",$U15/$E15*1000000)</f>
        <v/>
      </c>
      <c r="Y15" s="54" t="str">
        <f aca="false">IF(OR($Q15="",$R15=""),"",COUNTIFS($R$5:$R$17,$R15,$U$5:$U$17,"&gt;"&amp;$U15)+1)</f>
        <v/>
      </c>
      <c r="Z15" s="55" t="str">
        <f aca="false">IF(OR($S15="",$K15="",1-$K15=0),"",$S15/(1-$K15))</f>
        <v/>
      </c>
    </row>
    <row r="16" customFormat="false" ht="19.5" hidden="false" customHeight="true" outlineLevel="0" collapsed="false">
      <c r="A16" s="56"/>
      <c r="B16" s="57"/>
      <c r="C16" s="57"/>
      <c r="D16" s="56"/>
      <c r="E16" s="45"/>
      <c r="F16" s="46"/>
      <c r="G16" s="58" t="str">
        <f aca="false">IF($E16="","",MIN(1,MAX(0,(LOG10($E16)-LOG10(Nmin))/(LOG10(Nmax)-LOG10(Nmin)))))</f>
        <v/>
      </c>
      <c r="H16" s="46"/>
      <c r="I16" s="46"/>
      <c r="J16" s="46"/>
      <c r="K16" s="46"/>
      <c r="L16" s="48"/>
      <c r="M16" s="58" t="str">
        <f aca="false">IF($L16="","",CHOOSE($L16,0.1,0.3,0.5,0.75,1))</f>
        <v/>
      </c>
      <c r="N16" s="58" t="str">
        <f aca="false">IF(OR($F16="",$H16="",$I16=""),"",$F16*$H16*$I16)</f>
        <v/>
      </c>
      <c r="O16" s="58" t="str">
        <f aca="false">IF(OR($N16="",$J16=""),"",$N16*(1-$J16))</f>
        <v/>
      </c>
      <c r="P16" s="59" t="str">
        <f aca="false">IF($O16="","",IF($O16&lt;0.05,"1 · Low",IF($O16&lt;0.15,"2 · Moderate",IF($O16&lt;0.35,"3 · High",IF($O16&lt;0.6,"4 · Severe","5 · Critical")))))</f>
        <v/>
      </c>
      <c r="Q16" s="58" t="str">
        <f aca="false">IF(OR($N16="",$K16=""),"",$N16*(1-$K16))</f>
        <v/>
      </c>
      <c r="R16" s="59" t="str">
        <f aca="false">IF($Q16="","",IF($Q16&lt;0.05,"1 · Low",IF($Q16&lt;0.15,"2 · Moderate",IF($Q16&lt;0.35,"3 · High",IF($Q16&lt;0.6,"4 · Severe","5 · Critical")))))</f>
        <v/>
      </c>
      <c r="S16" s="60" t="str">
        <f aca="false">IF(OR($O16="",$Q16=""),"",($O16-$Q16)/$O16)</f>
        <v/>
      </c>
      <c r="T16" s="58" t="str">
        <f aca="false">IF(OR($F16="",$M16="",$J16=""),"",$F16*$M16*(1-$J16))</f>
        <v/>
      </c>
      <c r="U16" s="58" t="str">
        <f aca="false">IF(OR($F16="",$M16="",$K16=""),"",$F16*$M16*(1-$K16))</f>
        <v/>
      </c>
      <c r="V16" s="61" t="str">
        <f aca="false">IF(OR($T16="",$E16=""),"",$T16/$E16*1000000)</f>
        <v/>
      </c>
      <c r="W16" s="62" t="str">
        <f aca="false">IF($O16="","",COUNTIFS($P$5:$P$17,$P16,$T$5:$T$17,"&gt;"&amp;$T16)+1)</f>
        <v/>
      </c>
      <c r="X16" s="53" t="str">
        <f aca="false">IF(OR($U16="",$E16=""),"",$U16/$E16*1000000)</f>
        <v/>
      </c>
      <c r="Y16" s="54" t="str">
        <f aca="false">IF(OR($Q16="",$R16=""),"",COUNTIFS($R$5:$R$17,$R16,$U$5:$U$17,"&gt;"&amp;$U16)+1)</f>
        <v/>
      </c>
      <c r="Z16" s="55" t="str">
        <f aca="false">IF(OR($S16="",$K16="",1-$K16=0),"",$S16/(1-$K16))</f>
        <v/>
      </c>
    </row>
    <row r="17" customFormat="false" ht="19.5" hidden="false" customHeight="true" outlineLevel="0" collapsed="false">
      <c r="A17" s="43"/>
      <c r="B17" s="44"/>
      <c r="C17" s="44"/>
      <c r="D17" s="43"/>
      <c r="E17" s="45"/>
      <c r="F17" s="46"/>
      <c r="G17" s="47" t="str">
        <f aca="false">IF($E17="","",MIN(1,MAX(0,(LOG10($E17)-LOG10(Nmin))/(LOG10(Nmax)-LOG10(Nmin)))))</f>
        <v/>
      </c>
      <c r="H17" s="46"/>
      <c r="I17" s="46"/>
      <c r="J17" s="46"/>
      <c r="K17" s="46"/>
      <c r="L17" s="48"/>
      <c r="M17" s="47" t="str">
        <f aca="false">IF($L17="","",CHOOSE($L17,0.1,0.3,0.5,0.75,1))</f>
        <v/>
      </c>
      <c r="N17" s="47" t="str">
        <f aca="false">IF(OR($F17="",$H17="",$I17=""),"",$F17*$H17*$I17)</f>
        <v/>
      </c>
      <c r="O17" s="47" t="str">
        <f aca="false">IF(OR($N17="",$J17=""),"",$N17*(1-$J17))</f>
        <v/>
      </c>
      <c r="P17" s="49" t="str">
        <f aca="false">IF($O17="","",IF($O17&lt;0.05,"1 · Low",IF($O17&lt;0.15,"2 · Moderate",IF($O17&lt;0.35,"3 · High",IF($O17&lt;0.6,"4 · Severe","5 · Critical")))))</f>
        <v/>
      </c>
      <c r="Q17" s="47" t="str">
        <f aca="false">IF(OR($N17="",$K17=""),"",$N17*(1-$K17))</f>
        <v/>
      </c>
      <c r="R17" s="49" t="str">
        <f aca="false">IF($Q17="","",IF($Q17&lt;0.05,"1 · Low",IF($Q17&lt;0.15,"2 · Moderate",IF($Q17&lt;0.35,"3 · High",IF($Q17&lt;0.6,"4 · Severe","5 · Critical")))))</f>
        <v/>
      </c>
      <c r="S17" s="50" t="str">
        <f aca="false">IF(OR($O17="",$Q17=""),"",($O17-$Q17)/$O17)</f>
        <v/>
      </c>
      <c r="T17" s="47" t="str">
        <f aca="false">IF(OR($F17="",$M17="",$J17=""),"",$F17*$M17*(1-$J17))</f>
        <v/>
      </c>
      <c r="U17" s="47" t="str">
        <f aca="false">IF(OR($F17="",$M17="",$K17=""),"",$F17*$M17*(1-$K17))</f>
        <v/>
      </c>
      <c r="V17" s="51" t="str">
        <f aca="false">IF(OR($T17="",$E17=""),"",$T17/$E17*1000000)</f>
        <v/>
      </c>
      <c r="W17" s="52" t="str">
        <f aca="false">IF($O17="","",COUNTIFS($P$5:$P$17,$P17,$T$5:$T$17,"&gt;"&amp;$T17)+1)</f>
        <v/>
      </c>
      <c r="X17" s="53" t="str">
        <f aca="false">IF(OR($U17="",$E17=""),"",$U17/$E17*1000000)</f>
        <v/>
      </c>
      <c r="Y17" s="54" t="str">
        <f aca="false">IF(OR($Q17="",$R17=""),"",COUNTIFS($R$5:$R$17,$R17,$U$5:$U$17,"&gt;"&amp;$U17)+1)</f>
        <v/>
      </c>
      <c r="Z17" s="55" t="str">
        <f aca="false">IF(OR($S17="",$K17="",1-$K17=0),"",$S17/(1-$K17))</f>
        <v/>
      </c>
    </row>
    <row r="19" customFormat="false" ht="39.75" hidden="false" customHeight="true" outlineLevel="0" collapsed="false">
      <c r="A19" s="64" t="s">
        <v>169</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customFormat="false" ht="27.75" hidden="false" customHeight="true" outlineLevel="0" collapsed="false">
      <c r="A20" s="65" t="s">
        <v>18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row>
  </sheetData>
  <mergeCells count="4">
    <mergeCell ref="A1:Z1"/>
    <mergeCell ref="A2:Z2"/>
    <mergeCell ref="A19:Z19"/>
    <mergeCell ref="A20:Z20"/>
  </mergeCells>
  <conditionalFormatting sqref="O5:O17">
    <cfRule type="cellIs" priority="2" operator="greaterThanOrEqual" aboveAverage="0" equalAverage="0" bottom="0" percent="0" rank="0" text="" dxfId="0">
      <formula>0.6</formula>
    </cfRule>
    <cfRule type="cellIs" priority="3" operator="between" aboveAverage="0" equalAverage="0" bottom="0" percent="0" rank="0" text="" dxfId="1">
      <formula>0.35</formula>
      <formula>0.5999999</formula>
    </cfRule>
    <cfRule type="cellIs" priority="4" operator="between" aboveAverage="0" equalAverage="0" bottom="0" percent="0" rank="0" text="" dxfId="2">
      <formula>0.15</formula>
      <formula>0.3499999</formula>
    </cfRule>
    <cfRule type="cellIs" priority="5" operator="between" aboveAverage="0" equalAverage="0" bottom="0" percent="0" rank="0" text="" dxfId="3">
      <formula>0.05</formula>
      <formula>0.1499999</formula>
    </cfRule>
    <cfRule type="cellIs" priority="6" operator="lessThan" aboveAverage="0" equalAverage="0" bottom="0" percent="0" rank="0" text="" dxfId="4">
      <formula>0.05</formula>
    </cfRule>
  </conditionalFormatting>
  <conditionalFormatting sqref="Q5:Q17">
    <cfRule type="cellIs" priority="7" operator="greaterThanOrEqual" aboveAverage="0" equalAverage="0" bottom="0" percent="0" rank="0" text="" dxfId="0">
      <formula>0.6</formula>
    </cfRule>
    <cfRule type="cellIs" priority="8" operator="between" aboveAverage="0" equalAverage="0" bottom="0" percent="0" rank="0" text="" dxfId="1">
      <formula>0.35</formula>
      <formula>0.5999999</formula>
    </cfRule>
    <cfRule type="cellIs" priority="9" operator="between" aboveAverage="0" equalAverage="0" bottom="0" percent="0" rank="0" text="" dxfId="2">
      <formula>0.15</formula>
      <formula>0.3499999</formula>
    </cfRule>
    <cfRule type="cellIs" priority="10" operator="between" aboveAverage="0" equalAverage="0" bottom="0" percent="0" rank="0" text="" dxfId="3">
      <formula>0.05</formula>
      <formula>0.1499999</formula>
    </cfRule>
    <cfRule type="cellIs" priority="11" operator="lessThan" aboveAverage="0" equalAverage="0" bottom="0" percent="0" rank="0" text="" dxfId="4">
      <formula>0.05</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2026-06-03T19:04:57Z</dcterms:created>
  <dc:creator>Cesar Marolla, PhD</dc:creator>
  <dc:description/>
  <dc:language>en-US</dc:language>
  <cp:lastModifiedBy>Dr. Cesar Marolla</cp:lastModifiedBy>
  <dcterms:modified xsi:type="dcterms:W3CDTF">2026-09-26T22:50:02Z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